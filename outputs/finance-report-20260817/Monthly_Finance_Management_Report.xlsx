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dba86f60dc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40816cf17456469a"/>
    <x:sheet xmlns:r="http://schemas.openxmlformats.org/officeDocument/2006/relationships" name="Monthly Summary" sheetId="2" r:id="Rf6ebb51c7c044fe5"/>
    <x:sheet xmlns:r="http://schemas.openxmlformats.org/officeDocument/2006/relationships" name="Input Data" sheetId="3" r:id="R1617bc6aa8114ad7"/>
    <x:sheet xmlns:r="http://schemas.openxmlformats.org/officeDocument/2006/relationships" name="Cost Centre" sheetId="4" r:id="Re77e7efa52934b40"/>
    <x:sheet xmlns:r="http://schemas.openxmlformats.org/officeDocument/2006/relationships" name="Checks" sheetId="5" r:id="Red6e5c3581b8455a"/>
    <x:sheet xmlns:r="http://schemas.openxmlformats.org/officeDocument/2006/relationships" name="Instructions" sheetId="6" r:id="Rab67149a7b6444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;(#,##0);-"/>
    <x:numFmt numFmtId="202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2238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63708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238"/>
      </x:patternFill>
    </x:fill>
    <x:fill>
      <x:patternFill patternType="solid">
        <x:fgColor rgb="FFE9EFFF"/>
      </x:patternFill>
    </x:fill>
    <x:fill>
      <x:patternFill patternType="solid">
        <x:fgColor rgb="FF2458D5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C9D3E5"/>
      </x:left>
      <x:top style="thin">
        <x:color rgb="FFC9D3E5"/>
      </x:top>
      <x:bottom style="thin">
        <x:color rgb="FFC9D3E5"/>
      </x:bottom>
    </x:border>
    <x:border>
      <x:top style="thin">
        <x:color rgb="FFC9D3E5"/>
      </x:top>
      <x:bottom style="thin">
        <x:color rgb="FFC9D3E5"/>
      </x:bottom>
    </x:border>
    <x:border>
      <x:right style="thin">
        <x:color rgb="FFC9D3E5"/>
      </x:right>
      <x:top style="thin">
        <x:color rgb="FFC9D3E5"/>
      </x:top>
      <x:bottom style="thin">
        <x:color rgb="FFC9D3E5"/>
      </x:bottom>
    </x:border>
    <x:border>
      <x:bottom style="double">
        <x:color rgb="FF2458D5"/>
      </x:bottom>
    </x:border>
    <x:border>
      <x:left style="thin">
        <x:color rgb="FFDCE3EE"/>
      </x:left>
      <x:top style="thin">
        <x:color rgb="FFDCE3EE"/>
      </x:top>
    </x:border>
    <x:border>
      <x:top style="thin">
        <x:color rgb="FFDCE3EE"/>
      </x:top>
    </x:border>
    <x:border>
      <x:right style="thin">
        <x:color rgb="FFDCE3EE"/>
      </x:right>
      <x:top style="thin">
        <x:color rgb="FFDCE3EE"/>
      </x:top>
    </x:border>
    <x:border>
      <x:left style="thin">
        <x:color rgb="FFDCE3EE"/>
      </x:left>
      <x:bottom style="thin">
        <x:color rgb="FFDCE3EE"/>
      </x:bottom>
    </x:border>
    <x:border>
      <x:bottom style="thin">
        <x:color rgb="FFDCE3EE"/>
      </x:bottom>
    </x:border>
    <x:border>
      <x:right style="thin">
        <x:color rgb="FFDCE3EE"/>
      </x:right>
      <x:bottom style="thin">
        <x:color rgb="FFDCE3EE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201" fontId="3" fillId="3" borderId="4" xfId="0" applyNumberFormat="1" applyFont="1" applyFill="1" applyBorder="1"/>
    <x:xf numFmtId="201" fontId="3" fillId="3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66A00"/>
      </x:font>
      <x:fill>
        <x:patternFill patternType="solid">
          <x:bgColor rgb="FFFFF1E6"/>
        </x:patternFill>
      </x:fill>
    </x:dxf>
    <x:dxf>
      <x:font>
        <x:b/>
        <x:color rgb="FF167D56"/>
      </x:font>
      <x:fill>
        <x:patternFill patternType="solid">
          <x:bgColor rgb="FFEAF7F0"/>
        </x:patternFill>
      </x:fill>
    </x:dxf>
    <x:dxf>
      <x:font>
        <x:b/>
        <x:color rgb="FFB66A00"/>
      </x:font>
      <x:fill>
        <x:patternFill patternType="solid">
          <x:bgColor rgb="FFFFF1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c66ea3a6b4443" /><Relationship Type="http://schemas.openxmlformats.org/officeDocument/2006/relationships/theme" Target="/xl/theme/theme1.xml" Id="R397be066248d44fe" /><Relationship Type="http://schemas.openxmlformats.org/officeDocument/2006/relationships/sharedStrings" Target="/xl/sharedStrings.xml" Id="Rab2ef655eae0403e" /><Relationship Type="http://schemas.openxmlformats.org/officeDocument/2006/relationships/worksheet" Target="/xl/worksheets/sheet1.xml" Id="R40816cf17456469a" /><Relationship Type="http://schemas.openxmlformats.org/officeDocument/2006/relationships/worksheet" Target="/xl/worksheets/sheet2.xml" Id="Rf6ebb51c7c044fe5" /><Relationship Type="http://schemas.openxmlformats.org/officeDocument/2006/relationships/worksheet" Target="/xl/worksheets/sheet3.xml" Id="R1617bc6aa8114ad7" /><Relationship Type="http://schemas.openxmlformats.org/officeDocument/2006/relationships/worksheet" Target="/xl/worksheets/sheet4.xml" Id="Re77e7efa52934b40" /><Relationship Type="http://schemas.openxmlformats.org/officeDocument/2006/relationships/worksheet" Target="/xl/worksheets/sheet5.xml" Id="Red6e5c3581b8455a" /><Relationship Type="http://schemas.openxmlformats.org/officeDocument/2006/relationships/worksheet" Target="/xl/worksheets/sheet6.xml" Id="Rab67149a7b6444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26c6966ecc4d8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Revenue: Actual vs Budget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Budget Revenue</c:v>
          </c:tx>
          <c:marker>
            <c:symbol val="none"/>
          </c:marker>
          <c:cat>
            <c:strRef>
              <c:f>'Monthly Summary'!$A$6:$A$8</c:f>
              <c:strCache>
                <c:ptCount val="0"/>
              </c:strCache>
            </c:strRef>
          </c:cat>
          <c:val>
            <c:numRef>
              <c:f>'Monthly Summary'!$B$6:$B$8</c:f>
              <c:numCache>
                <c:formatCode>#,##0;(#,##0);-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Actual Revenue</c:v>
          </c:tx>
          <c:marker>
            <c:symbol val="none"/>
          </c:marker>
          <c:cat>
            <c:strRef>
              <c:f>'Monthly Summary'!$A$6:$A$8</c:f>
              <c:strCache>
                <c:ptCount val="0"/>
              </c:strCache>
            </c:strRef>
          </c:cat>
          <c:val>
            <c:numRef>
              <c:f>'Monthly Summary'!$C$6:$C$8</c:f>
              <c:numCache>
                <c:formatCode>#,##0;(#,##0);-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26c6966ecc4d8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ransactionsTable" displayName="TransactionsTable" ref="A3:H363" headerRowCount="1" totalsRowCount="0" totalsRowShown="0">
  <x:tableColumns count="8">
    <x:tableColumn id="1" name="Transaction ID"/>
    <x:tableColumn id="2" name="Transaction Date"/>
    <x:tableColumn id="3" name="Reporting Month"/>
    <x:tableColumn id="4" name="Type"/>
    <x:tableColumn id="5" name="Cost Centre"/>
    <x:tableColumn id="6" name="Actual Amount"/>
    <x:tableColumn id="7" name="Budget Amount"/>
    <x:tableColumn id="8" name="Source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d07b69a851e43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66b2637e96e40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8.779999732971191" hidden="0" customWidth="1"/>
    <x:col min="3" max="3" width="8.779999732971191" hidden="0" customWidth="1"/>
    <x:col min="4" max="4" width="7.329999923706055" hidden="0" customWidth="1"/>
    <x:col min="5" max="5" width="9.220000267028809" hidden="0" customWidth="1"/>
  </x:cols>
  <x:sheetData>
    <x:row r="1">
      <x:c r="A1" s="4" t="str">
        <x:v>Monthly Finance Management Report</x:v>
      </x:c>
      <x:c r="B1" s="4"/>
      <x:c r="C1" s="4"/>
      <x:c r="D1" s="4"/>
      <x:c r="E1" s="4"/>
      <x:c r="F1" s="4"/>
      <x:c r="G1" s="4"/>
      <x:c r="H1" s="4"/>
    </x:row>
    <x:row r="2">
      <x:c r="A2" s="20" t="str">
        <x:v>Period: January–March 2026 | Version: 1.0 | Data: synthetic portfolio reporting workflow</x:v>
      </x:c>
      <x:c r="B2" s="20"/>
      <x:c r="C2" s="20"/>
      <x:c r="D2" s="20"/>
      <x:c r="E2" s="20"/>
      <x:c r="F2" s="20"/>
      <x:c r="G2" s="20"/>
      <x:c r="H2" s="20"/>
    </x:row>
    <x:row r="4">
      <x:c r="A4" s="7" t="str">
        <x:v>Metric</x:v>
      </x:c>
      <x:c r="B4" s="8" t="str">
        <x:v>Actual</x:v>
      </x:c>
      <x:c r="C4" s="8" t="str">
        <x:v>Budget</x:v>
      </x:c>
      <x:c r="D4" s="8" t="str">
        <x:v>Variance</x:v>
      </x:c>
      <x:c r="E4" s="9" t="str">
        <x:v>Variance %</x:v>
      </x:c>
    </x:row>
    <x:row r="5">
      <x:c r="A5" t="str">
        <x:v>Revenue</x:v>
      </x:c>
      <x:c r="B5" s="11" t="n">
        <x:f>'Monthly Summary'!C10</x:f>
        <x:v>2273747</x:v>
      </x:c>
      <x:c r="C5" s="11" t="n">
        <x:f>'Monthly Summary'!B10</x:f>
        <x:v>2212240.92</x:v>
      </x:c>
      <x:c r="D5" s="11" t="n">
        <x:f>B5-C5</x:f>
        <x:v>61506.080000000075</x:v>
      </x:c>
      <x:c r="E5" s="16" t="n">
        <x:f>IF(C5=0,0,D5/ABS(C5))</x:f>
        <x:v>0.02780261383104697</x:v>
      </x:c>
    </x:row>
    <x:row r="6">
      <x:c r="A6" t="str">
        <x:v>Operating Cost</x:v>
      </x:c>
      <x:c r="B6" s="11" t="n">
        <x:f>'Monthly Summary'!F10</x:f>
        <x:v>-1533697</x:v>
      </x:c>
      <x:c r="C6" s="11" t="n">
        <x:f>'Monthly Summary'!E10</x:f>
        <x:v>-1526858.34</x:v>
      </x:c>
      <x:c r="D6" s="11" t="n">
        <x:f>B6-C6</x:f>
        <x:v>-6838.659999999916</x:v>
      </x:c>
      <x:c r="E6" s="16" t="n">
        <x:f>IF(C6=0,0,D6/ABS(C6))</x:f>
        <x:v>-0.004478909287681473</x:v>
      </x:c>
    </x:row>
    <x:row r="7">
      <x:c r="A7" t="str">
        <x:v>EBITDA</x:v>
      </x:c>
      <x:c r="B7" s="11" t="n">
        <x:f>'Monthly Summary'!I10</x:f>
        <x:v>740050</x:v>
      </x:c>
      <x:c r="C7" s="11" t="n">
        <x:f>'Monthly Summary'!H10</x:f>
        <x:v>685382.58</x:v>
      </x:c>
      <x:c r="D7" s="11" t="n">
        <x:f>B7-C7</x:f>
        <x:v>54667.42000000004</x:v>
      </x:c>
      <x:c r="E7" s="16" t="n">
        <x:f>IF(C7=0,0,D7/ABS(C7))</x:f>
        <x:v>0.07976190465768775</x:v>
      </x:c>
    </x:row>
    <x:row r="8">
      <x:c r="A8" t="str">
        <x:v>Operating Cash Flow</x:v>
      </x:c>
      <x:c r="B8" s="11" t="n">
        <x:f>'Monthly Summary'!L10</x:f>
        <x:v>144487</x:v>
      </x:c>
      <x:c r="C8" s="11" t="n">
        <x:f>'Monthly Summary'!K10</x:f>
        <x:v>143660.67</x:v>
      </x:c>
      <x:c r="D8" s="11" t="n">
        <x:f>B8-C8</x:f>
        <x:v>826.3299999999872</x:v>
      </x:c>
      <x:c r="E8" s="16" t="n">
        <x:f>IF(C8=0,0,D8/ABS(C8))</x:f>
        <x:v>0.005751957024841852</x:v>
      </x:c>
    </x:row>
    <x:row r="10">
      <x:c r="A10" s="19" t="str">
        <x:v>Management takeaways</x:v>
      </x:c>
      <x:c r="B10" s="19"/>
      <x:c r="C10" s="19"/>
      <x:c r="D10" s="19"/>
      <x:c r="E10" s="19"/>
      <x:c r="F10" s="19"/>
      <x:c r="G10" s="19"/>
      <x:c r="H10" s="19"/>
    </x:row>
    <x:row r="11">
      <x:c r="A11" s="34" t="str">
        <x:v>Revenue exceeded budget in each reporting month. Cost variance needs attention in Operations and Sales &amp; Marketing. All data-quality checks passed.</x:v>
      </x:c>
      <x:c r="B11" s="35"/>
      <x:c r="C11" s="35"/>
      <x:c r="D11" s="35"/>
      <x:c r="E11" s="35"/>
      <x:c r="F11" s="35"/>
      <x:c r="G11" s="35"/>
      <x:c r="H11" s="36"/>
    </x:row>
    <x:row r="12">
      <x:c r="A12" s="37"/>
      <x:c r="B12" s="38"/>
      <x:c r="C12" s="38"/>
      <x:c r="D12" s="38"/>
      <x:c r="E12" s="38"/>
      <x:c r="F12" s="38"/>
      <x:c r="G12" s="38"/>
      <x:c r="H12" s="39"/>
    </x:row>
  </x:sheetData>
  <x:mergeCells>
    <x:mergeCell ref="A1:H1"/>
    <x:mergeCell ref="A2:H2"/>
    <x:mergeCell ref="A10:H10"/>
    <x:mergeCell ref="A11:H12"/>
  </x:mergeCells>
  <x:pageMargins left="0.7" right="0.7" top="0.75" bottom="0.75" header="0.3" footer="0.3"/>
  <x:drawing xmlns:r="http://schemas.openxmlformats.org/officeDocument/2006/relationships" r:id="R0d07b69a851e434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13.329999923706055" hidden="0" customWidth="1"/>
    <x:col min="3" max="3" width="12.670000076293945" hidden="0" customWidth="1"/>
    <x:col min="4" max="4" width="14.5600004196167" hidden="0" customWidth="1"/>
    <x:col min="5" max="5" width="10.220000267028809" hidden="0" customWidth="1"/>
    <x:col min="6" max="6" width="9.5600004196167" hidden="0" customWidth="1"/>
    <x:col min="7" max="7" width="11.329999923706055" hidden="0" customWidth="1"/>
    <x:col min="8" max="8" width="12.670000076293945" hidden="0" customWidth="1"/>
    <x:col min="9" max="9" width="12" hidden="0" customWidth="1"/>
    <x:col min="10" max="10" width="13.779999732971191" hidden="0" customWidth="1"/>
    <x:col min="11" max="11" width="14.670000076293945" hidden="0" customWidth="1"/>
    <x:col min="12" max="12" width="14.109999656677246" hidden="0" customWidth="1"/>
  </x:cols>
  <x:sheetData>
    <x:row r="1">
      <x:c r="A1" s="4" t="str">
        <x:v>Monthly Finance Performance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t="str">
        <x:v>Actual and budget values are driven by the monthly finance inputs. Variances and EBITDA are formula-based.</x:v>
      </x:c>
    </x:row>
    <x:row r="5" ht="24" customHeight="1">
      <x:c r="A5" s="7" t="str">
        <x:v>Month</x:v>
      </x:c>
      <x:c r="B5" s="8" t="str">
        <x:v>Budget Revenue</x:v>
      </x:c>
      <x:c r="C5" s="8" t="str">
        <x:v>Actual Revenue</x:v>
      </x:c>
      <x:c r="D5" s="8" t="str">
        <x:v>Revenue Variance</x:v>
      </x:c>
      <x:c r="E5" s="8" t="str">
        <x:v>Budget Cost</x:v>
      </x:c>
      <x:c r="F5" s="8" t="str">
        <x:v>Actual Cost</x:v>
      </x:c>
      <x:c r="G5" s="8" t="str">
        <x:v>Cost Variance</x:v>
      </x:c>
      <x:c r="H5" s="8" t="str">
        <x:v>Budget EBITDA</x:v>
      </x:c>
      <x:c r="I5" s="8" t="str">
        <x:v>Actual EBITDA</x:v>
      </x:c>
      <x:c r="J5" s="8" t="str">
        <x:v>EBITDA Variance</x:v>
      </x:c>
      <x:c r="K5" s="8" t="str">
        <x:v>Budget Cash Flow</x:v>
      </x:c>
      <x:c r="L5" s="9" t="str">
        <x:v>Actual Cash Flow</x:v>
      </x:c>
    </x:row>
    <x:row r="6">
      <x:c r="A6" t="str">
        <x:v>2026-01</x:v>
      </x:c>
      <x:c r="B6" s="11" t="n">
        <x:v>780699.61</x:v>
      </x:c>
      <x:c r="C6" s="11" t="n">
        <x:v>803625</x:v>
      </x:c>
      <x:c r="D6" s="11" t="n">
        <x:f>C6-B6</x:f>
        <x:v>22925.390000000014</x:v>
      </x:c>
      <x:c r="E6" s="11" t="n">
        <x:v>-500756.91000000003</x:v>
      </x:c>
      <x:c r="F6" s="11" t="n">
        <x:v>-501255</x:v>
      </x:c>
      <x:c r="G6" s="11" t="n">
        <x:f>F6-E6</x:f>
        <x:v>-498.0899999999674</x:v>
      </x:c>
      <x:c r="H6" s="11" t="n">
        <x:f>B6+E6</x:f>
        <x:v>279942.69999999995</x:v>
      </x:c>
      <x:c r="I6" s="11" t="n">
        <x:f>C6+F6</x:f>
        <x:v>302370</x:v>
      </x:c>
      <x:c r="J6" s="11" t="n">
        <x:f>I6-H6</x:f>
        <x:v>22427.300000000047</x:v>
      </x:c>
      <x:c r="K6" s="11" t="n">
        <x:v>45819.47</x:v>
      </x:c>
      <x:c r="L6" s="11" t="n">
        <x:v>47389</x:v>
      </x:c>
    </x:row>
    <x:row r="7">
      <x:c r="A7" t="str">
        <x:v>2026-02</x:v>
      </x:c>
      <x:c r="B7" s="11" t="n">
        <x:v>699559.43</x:v>
      </x:c>
      <x:c r="C7" s="11" t="n">
        <x:v>719349</x:v>
      </x:c>
      <x:c r="D7" s="11" t="n">
        <x:f>C7-B7</x:f>
        <x:v>19789.56999999995</x:v>
      </x:c>
      <x:c r="E7" s="11" t="n">
        <x:v>-523158.15</x:v>
      </x:c>
      <x:c r="F7" s="11" t="n">
        <x:v>-526737</x:v>
      </x:c>
      <x:c r="G7" s="11" t="n">
        <x:f>F7-E7</x:f>
        <x:v>-3578.8499999999767</x:v>
      </x:c>
      <x:c r="H7" s="11" t="n">
        <x:f>B7+E7</x:f>
        <x:v>176401.28000000003</x:v>
      </x:c>
      <x:c r="I7" s="11" t="n">
        <x:f>C7+F7</x:f>
        <x:v>192612</x:v>
      </x:c>
      <x:c r="J7" s="11" t="n">
        <x:f>I7-H7</x:f>
        <x:v>16210.719999999972</x:v>
      </x:c>
      <x:c r="K7" s="11" t="n">
        <x:v>59419.51</x:v>
      </x:c>
      <x:c r="L7" s="11" t="n">
        <x:v>59563</x:v>
      </x:c>
    </x:row>
    <x:row r="8">
      <x:c r="A8" t="str">
        <x:v>2026-03</x:v>
      </x:c>
      <x:c r="B8" s="11" t="n">
        <x:v>731981.88</x:v>
      </x:c>
      <x:c r="C8" s="11" t="n">
        <x:v>750773</x:v>
      </x:c>
      <x:c r="D8" s="11" t="n">
        <x:f>C8-B8</x:f>
        <x:v>18791.119999999995</x:v>
      </x:c>
      <x:c r="E8" s="11" t="n">
        <x:v>-502943.28</x:v>
      </x:c>
      <x:c r="F8" s="11" t="n">
        <x:v>-505705</x:v>
      </x:c>
      <x:c r="G8" s="11" t="n">
        <x:f>F8-E8</x:f>
        <x:v>-2761.719999999972</x:v>
      </x:c>
      <x:c r="H8" s="11" t="n">
        <x:f>B8+E8</x:f>
        <x:v>229038.59999999998</x:v>
      </x:c>
      <x:c r="I8" s="11" t="n">
        <x:f>C8+F8</x:f>
        <x:v>245068</x:v>
      </x:c>
      <x:c r="J8" s="11" t="n">
        <x:f>I8-H8</x:f>
        <x:v>16029.400000000023</x:v>
      </x:c>
      <x:c r="K8" s="11" t="n">
        <x:v>38421.69</x:v>
      </x:c>
      <x:c r="L8" s="11" t="n">
        <x:v>37535</x:v>
      </x:c>
    </x:row>
    <x:row r="9"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</x:row>
    <x:row r="10">
      <x:c r="A10" s="13" t="str">
        <x:v>Total</x:v>
      </x:c>
      <x:c r="B10" s="14" t="n">
        <x:f>SUM(B6:B8)</x:f>
        <x:v>2212240.92</x:v>
      </x:c>
      <x:c r="C10" s="14" t="n">
        <x:f>SUM(C6:C8)</x:f>
        <x:v>2273747</x:v>
      </x:c>
      <x:c r="D10" s="14" t="n">
        <x:f>SUM(D6:D8)</x:f>
        <x:v>61506.07999999996</x:v>
      </x:c>
      <x:c r="E10" s="14" t="n">
        <x:f>SUM(E6:E8)</x:f>
        <x:v>-1526858.34</x:v>
      </x:c>
      <x:c r="F10" s="14" t="n">
        <x:f>SUM(F6:F8)</x:f>
        <x:v>-1533697</x:v>
      </x:c>
      <x:c r="G10" s="14" t="n">
        <x:f>SUM(G6:G8)</x:f>
        <x:v>-6838.659999999916</x:v>
      </x:c>
      <x:c r="H10" s="14" t="n">
        <x:f>SUM(H6:H8)</x:f>
        <x:v>685382.58</x:v>
      </x:c>
      <x:c r="I10" s="14" t="n">
        <x:f>SUM(I6:I8)</x:f>
        <x:v>740050</x:v>
      </x:c>
      <x:c r="J10" s="14" t="n">
        <x:f>SUM(J6:J8)</x:f>
        <x:v>54667.42000000004</x:v>
      </x:c>
      <x:c r="K10" s="14" t="n">
        <x:f>SUM(K6:K8)</x:f>
        <x:v>143660.67</x:v>
      </x:c>
      <x:c r="L10" s="14" t="n">
        <x:f>SUM(L6:L8)</x:f>
        <x:v>144487</x:v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1.779999732971191" hidden="0" customWidth="1"/>
    <x:col min="2" max="2" width="13.670000076293945" hidden="0" customWidth="1"/>
    <x:col min="3" max="3" width="13.5600004196167" hidden="0" customWidth="1"/>
    <x:col min="4" max="4" width="4.329999923706055" hidden="0" customWidth="1"/>
    <x:col min="5" max="5" width="20" hidden="0" customWidth="1"/>
    <x:col min="6" max="6" width="12.109999656677246" hidden="0" customWidth="1"/>
    <x:col min="7" max="7" width="12.670000076293945" hidden="0" customWidth="1"/>
    <x:col min="8" max="8" width="26" hidden="0" customWidth="1"/>
  </x:cols>
  <x:sheetData>
    <x:row r="1">
      <x:c r="A1" s="4" t="str">
        <x:v>Consolidated Finance Transactions</x:v>
      </x:c>
      <x:c r="B1" s="4"/>
      <x:c r="C1" s="4"/>
      <x:c r="D1" s="4"/>
      <x:c r="E1" s="4"/>
      <x:c r="F1" s="4"/>
      <x:c r="G1" s="4"/>
      <x:c r="H1" s="4"/>
    </x:row>
    <x:row r="3">
      <x:c r="A3" s="7" t="str">
        <x:v>Transaction ID</x:v>
      </x:c>
      <x:c r="B3" s="8" t="str">
        <x:v>Transaction Date</x:v>
      </x:c>
      <x:c r="C3" s="8" t="str">
        <x:v>Reporting Month</x:v>
      </x:c>
      <x:c r="D3" s="8" t="str">
        <x:v>Type</x:v>
      </x:c>
      <x:c r="E3" s="8" t="str">
        <x:v>Cost Centre</x:v>
      </x:c>
      <x:c r="F3" s="8" t="str">
        <x:v>Actual Amount</x:v>
      </x:c>
      <x:c r="G3" s="8" t="str">
        <x:v>Budget Amount</x:v>
      </x:c>
      <x:c r="H3" s="9" t="str">
        <x:v>Source File</x:v>
      </x:c>
    </x:row>
    <x:row r="4">
      <x:c r="A4" t="str">
        <x:v>TXN-00001</x:v>
      </x:c>
      <x:c r="B4" s="10" t="n">
        <x:v>46024</x:v>
      </x:c>
      <x:c r="C4" t="str">
        <x:v>2026-01</x:v>
      </x:c>
      <x:c r="D4" t="str">
        <x:v>Revenue</x:v>
      </x:c>
      <x:c r="E4" t="str">
        <x:v>Operations</x:v>
      </x:c>
      <x:c r="F4" s="11" t="n">
        <x:v>20131</x:v>
      </x:c>
      <x:c r="G4" s="11" t="n">
        <x:v>18481.71</x:v>
      </x:c>
      <x:c r="H4" t="str">
        <x:v>finance_2026_01.csv</x:v>
      </x:c>
    </x:row>
    <x:row r="5">
      <x:c r="A5" t="str">
        <x:v>TXN-00002</x:v>
      </x:c>
      <x:c r="B5" s="10" t="n">
        <x:v>46045</x:v>
      </x:c>
      <x:c r="C5" t="str">
        <x:v>2026-01</x:v>
      </x:c>
      <x:c r="D5" t="str">
        <x:v>Revenue</x:v>
      </x:c>
      <x:c r="E5" t="str">
        <x:v>People</x:v>
      </x:c>
      <x:c r="F5" s="11" t="n">
        <x:v>13321</x:v>
      </x:c>
      <x:c r="G5" s="11" t="n">
        <x:v>13075.03</x:v>
      </x:c>
      <x:c r="H5" t="str">
        <x:v>finance_2026_01.csv</x:v>
      </x:c>
    </x:row>
    <x:row r="6">
      <x:c r="A6" t="str">
        <x:v>TXN-00003</x:v>
      </x:c>
      <x:c r="B6" s="10" t="n">
        <x:v>46028</x:v>
      </x:c>
      <x:c r="C6" t="str">
        <x:v>2026-01</x:v>
      </x:c>
      <x:c r="D6" t="str">
        <x:v>Revenue</x:v>
      </x:c>
      <x:c r="E6" t="str">
        <x:v>Technology</x:v>
      </x:c>
      <x:c r="F6" s="11" t="n">
        <x:v>13485</x:v>
      </x:c>
      <x:c r="G6" s="11" t="n">
        <x:v>14019.85</x:v>
      </x:c>
      <x:c r="H6" t="str">
        <x:v>finance_2026_01.csv</x:v>
      </x:c>
    </x:row>
    <x:row r="7">
      <x:c r="A7" t="str">
        <x:v>TXN-00004</x:v>
      </x:c>
      <x:c r="B7" s="10" t="n">
        <x:v>46043</x:v>
      </x:c>
      <x:c r="C7" t="str">
        <x:v>2026-01</x:v>
      </x:c>
      <x:c r="D7" t="str">
        <x:v>Revenue</x:v>
      </x:c>
      <x:c r="E7" t="str">
        <x:v>Technology</x:v>
      </x:c>
      <x:c r="F7" s="11" t="n">
        <x:v>23698</x:v>
      </x:c>
      <x:c r="G7" s="11" t="n">
        <x:v>23008.29</x:v>
      </x:c>
      <x:c r="H7" t="str">
        <x:v>finance_2026_01.csv</x:v>
      </x:c>
    </x:row>
    <x:row r="8">
      <x:c r="A8" t="str">
        <x:v>TXN-00005</x:v>
      </x:c>
      <x:c r="B8" s="10" t="n">
        <x:v>46026</x:v>
      </x:c>
      <x:c r="C8" t="str">
        <x:v>2026-01</x:v>
      </x:c>
      <x:c r="D8" t="str">
        <x:v>Revenue</x:v>
      </x:c>
      <x:c r="E8" t="str">
        <x:v>Sales &amp; Marketing</x:v>
      </x:c>
      <x:c r="F8" s="11" t="n">
        <x:v>24768</x:v>
      </x:c>
      <x:c r="G8" s="11" t="n">
        <x:v>24117.64</x:v>
      </x:c>
      <x:c r="H8" t="str">
        <x:v>finance_2026_01.csv</x:v>
      </x:c>
    </x:row>
    <x:row r="9">
      <x:c r="A9" t="str">
        <x:v>TXN-00006</x:v>
      </x:c>
      <x:c r="B9" s="10" t="n">
        <x:v>46030</x:v>
      </x:c>
      <x:c r="C9" t="str">
        <x:v>2026-01</x:v>
      </x:c>
      <x:c r="D9" t="str">
        <x:v>Revenue</x:v>
      </x:c>
      <x:c r="E9" t="str">
        <x:v>People</x:v>
      </x:c>
      <x:c r="F9" s="11" t="n">
        <x:v>18608</x:v>
      </x:c>
      <x:c r="G9" s="11" t="n">
        <x:v>17097.11</x:v>
      </x:c>
      <x:c r="H9" t="str">
        <x:v>finance_2026_01.csv</x:v>
      </x:c>
    </x:row>
    <x:row r="10">
      <x:c r="A10" t="str">
        <x:v>TXN-00007</x:v>
      </x:c>
      <x:c r="B10" s="10" t="n">
        <x:v>46046</x:v>
      </x:c>
      <x:c r="C10" t="str">
        <x:v>2026-01</x:v>
      </x:c>
      <x:c r="D10" t="str">
        <x:v>Revenue</x:v>
      </x:c>
      <x:c r="E10" t="str">
        <x:v>Operations</x:v>
      </x:c>
      <x:c r="F10" s="11" t="n">
        <x:v>11543</x:v>
      </x:c>
      <x:c r="G10" s="11" t="n">
        <x:v>10614.55</x:v>
      </x:c>
      <x:c r="H10" t="str">
        <x:v>finance_2026_01.csv</x:v>
      </x:c>
    </x:row>
    <x:row r="11">
      <x:c r="A11" t="str">
        <x:v>TXN-00008</x:v>
      </x:c>
      <x:c r="B11" s="10" t="n">
        <x:v>46024</x:v>
      </x:c>
      <x:c r="C11" t="str">
        <x:v>2026-01</x:v>
      </x:c>
      <x:c r="D11" t="str">
        <x:v>Revenue</x:v>
      </x:c>
      <x:c r="E11" t="str">
        <x:v>Operations</x:v>
      </x:c>
      <x:c r="F11" s="11" t="n">
        <x:v>17394</x:v>
      </x:c>
      <x:c r="G11" s="11" t="n">
        <x:v>16155.45</x:v>
      </x:c>
      <x:c r="H11" t="str">
        <x:v>finance_2026_01.csv</x:v>
      </x:c>
    </x:row>
    <x:row r="12">
      <x:c r="A12" t="str">
        <x:v>TXN-00009</x:v>
      </x:c>
      <x:c r="B12" s="10" t="n">
        <x:v>46039</x:v>
      </x:c>
      <x:c r="C12" t="str">
        <x:v>2026-01</x:v>
      </x:c>
      <x:c r="D12" t="str">
        <x:v>Revenue</x:v>
      </x:c>
      <x:c r="E12" t="str">
        <x:v>People</x:v>
      </x:c>
      <x:c r="F12" s="11" t="n">
        <x:v>14671</x:v>
      </x:c>
      <x:c r="G12" s="11" t="n">
        <x:v>13554.63</x:v>
      </x:c>
      <x:c r="H12" t="str">
        <x:v>finance_2026_01.csv</x:v>
      </x:c>
    </x:row>
    <x:row r="13">
      <x:c r="A13" t="str">
        <x:v>TXN-00010</x:v>
      </x:c>
      <x:c r="B13" s="10" t="n">
        <x:v>46037</x:v>
      </x:c>
      <x:c r="C13" t="str">
        <x:v>2026-01</x:v>
      </x:c>
      <x:c r="D13" t="str">
        <x:v>Revenue</x:v>
      </x:c>
      <x:c r="E13" t="str">
        <x:v>People</x:v>
      </x:c>
      <x:c r="F13" s="11" t="n">
        <x:v>22549</x:v>
      </x:c>
      <x:c r="G13" s="11" t="n">
        <x:v>22312.73</x:v>
      </x:c>
      <x:c r="H13" t="str">
        <x:v>finance_2026_01.csv</x:v>
      </x:c>
    </x:row>
    <x:row r="14">
      <x:c r="A14" t="str">
        <x:v>TXN-00011</x:v>
      </x:c>
      <x:c r="B14" s="10" t="n">
        <x:v>46038</x:v>
      </x:c>
      <x:c r="C14" t="str">
        <x:v>2026-01</x:v>
      </x:c>
      <x:c r="D14" t="str">
        <x:v>Revenue</x:v>
      </x:c>
      <x:c r="E14" t="str">
        <x:v>General &amp; Admin</x:v>
      </x:c>
      <x:c r="F14" s="11" t="n">
        <x:v>15694</x:v>
      </x:c>
      <x:c r="G14" s="11" t="n">
        <x:v>15857.16</x:v>
      </x:c>
      <x:c r="H14" t="str">
        <x:v>finance_2026_01.csv</x:v>
      </x:c>
    </x:row>
    <x:row r="15">
      <x:c r="A15" t="str">
        <x:v>TXN-00012</x:v>
      </x:c>
      <x:c r="B15" s="10" t="n">
        <x:v>46047</x:v>
      </x:c>
      <x:c r="C15" t="str">
        <x:v>2026-01</x:v>
      </x:c>
      <x:c r="D15" t="str">
        <x:v>Revenue</x:v>
      </x:c>
      <x:c r="E15" t="str">
        <x:v>Sales &amp; Marketing</x:v>
      </x:c>
      <x:c r="F15" s="11" t="n">
        <x:v>18549</x:v>
      </x:c>
      <x:c r="G15" s="11" t="n">
        <x:v>18083.16</x:v>
      </x:c>
      <x:c r="H15" t="str">
        <x:v>finance_2026_01.csv</x:v>
      </x:c>
    </x:row>
    <x:row r="16">
      <x:c r="A16" t="str">
        <x:v>TXN-00013</x:v>
      </x:c>
      <x:c r="B16" s="10" t="n">
        <x:v>46038</x:v>
      </x:c>
      <x:c r="C16" t="str">
        <x:v>2026-01</x:v>
      </x:c>
      <x:c r="D16" t="str">
        <x:v>Revenue</x:v>
      </x:c>
      <x:c r="E16" t="str">
        <x:v>Technology</x:v>
      </x:c>
      <x:c r="F16" s="11" t="n">
        <x:v>14197</x:v>
      </x:c>
      <x:c r="G16" s="11" t="n">
        <x:v>14577.33</x:v>
      </x:c>
      <x:c r="H16" t="str">
        <x:v>finance_2026_01.csv</x:v>
      </x:c>
    </x:row>
    <x:row r="17">
      <x:c r="A17" t="str">
        <x:v>TXN-00014</x:v>
      </x:c>
      <x:c r="B17" s="10" t="n">
        <x:v>46045</x:v>
      </x:c>
      <x:c r="C17" t="str">
        <x:v>2026-01</x:v>
      </x:c>
      <x:c r="D17" t="str">
        <x:v>Revenue</x:v>
      </x:c>
      <x:c r="E17" t="str">
        <x:v>Sales &amp; Marketing</x:v>
      </x:c>
      <x:c r="F17" s="11" t="n">
        <x:v>19917</x:v>
      </x:c>
      <x:c r="G17" s="11" t="n">
        <x:v>20197.83</x:v>
      </x:c>
      <x:c r="H17" t="str">
        <x:v>finance_2026_01.csv</x:v>
      </x:c>
    </x:row>
    <x:row r="18">
      <x:c r="A18" t="str">
        <x:v>TXN-00015</x:v>
      </x:c>
      <x:c r="B18" s="10" t="n">
        <x:v>46039</x:v>
      </x:c>
      <x:c r="C18" t="str">
        <x:v>2026-01</x:v>
      </x:c>
      <x:c r="D18" t="str">
        <x:v>Revenue</x:v>
      </x:c>
      <x:c r="E18" t="str">
        <x:v>Technology</x:v>
      </x:c>
      <x:c r="F18" s="11" t="n">
        <x:v>13723</x:v>
      </x:c>
      <x:c r="G18" s="11" t="n">
        <x:v>13686.8</x:v>
      </x:c>
      <x:c r="H18" t="str">
        <x:v>finance_2026_01.csv</x:v>
      </x:c>
    </x:row>
    <x:row r="19">
      <x:c r="A19" t="str">
        <x:v>TXN-00016</x:v>
      </x:c>
      <x:c r="B19" s="10" t="n">
        <x:v>46044</x:v>
      </x:c>
      <x:c r="C19" t="str">
        <x:v>2026-01</x:v>
      </x:c>
      <x:c r="D19" t="str">
        <x:v>Revenue</x:v>
      </x:c>
      <x:c r="E19" t="str">
        <x:v>People</x:v>
      </x:c>
      <x:c r="F19" s="11" t="n">
        <x:v>21051</x:v>
      </x:c>
      <x:c r="G19" s="11" t="n">
        <x:v>20430.21</x:v>
      </x:c>
      <x:c r="H19" t="str">
        <x:v>finance_2026_01.csv</x:v>
      </x:c>
    </x:row>
    <x:row r="20">
      <x:c r="A20" t="str">
        <x:v>TXN-00017</x:v>
      </x:c>
      <x:c r="B20" s="10" t="n">
        <x:v>46036</x:v>
      </x:c>
      <x:c r="C20" t="str">
        <x:v>2026-01</x:v>
      </x:c>
      <x:c r="D20" t="str">
        <x:v>Revenue</x:v>
      </x:c>
      <x:c r="E20" t="str">
        <x:v>Sales &amp; Marketing</x:v>
      </x:c>
      <x:c r="F20" s="11" t="n">
        <x:v>9864</x:v>
      </x:c>
      <x:c r="G20" s="11" t="n">
        <x:v>9137.42</x:v>
      </x:c>
      <x:c r="H20" t="str">
        <x:v>finance_2026_01.csv</x:v>
      </x:c>
    </x:row>
    <x:row r="21">
      <x:c r="A21" t="str">
        <x:v>TXN-00018</x:v>
      </x:c>
      <x:c r="B21" s="10" t="n">
        <x:v>46043</x:v>
      </x:c>
      <x:c r="C21" t="str">
        <x:v>2026-01</x:v>
      </x:c>
      <x:c r="D21" t="str">
        <x:v>Revenue</x:v>
      </x:c>
      <x:c r="E21" t="str">
        <x:v>General &amp; Admin</x:v>
      </x:c>
      <x:c r="F21" s="11" t="n">
        <x:v>19751</x:v>
      </x:c>
      <x:c r="G21" s="11" t="n">
        <x:v>19459.79</x:v>
      </x:c>
      <x:c r="H21" t="str">
        <x:v>finance_2026_01.csv</x:v>
      </x:c>
    </x:row>
    <x:row r="22">
      <x:c r="A22" t="str">
        <x:v>TXN-00019</x:v>
      </x:c>
      <x:c r="B22" s="10" t="n">
        <x:v>46040</x:v>
      </x:c>
      <x:c r="C22" t="str">
        <x:v>2026-01</x:v>
      </x:c>
      <x:c r="D22" t="str">
        <x:v>Revenue</x:v>
      </x:c>
      <x:c r="E22" t="str">
        <x:v>Operations</x:v>
      </x:c>
      <x:c r="F22" s="11" t="n">
        <x:v>25460</x:v>
      </x:c>
      <x:c r="G22" s="11" t="n">
        <x:v>25741.83</x:v>
      </x:c>
      <x:c r="H22" t="str">
        <x:v>finance_2026_01.csv</x:v>
      </x:c>
    </x:row>
    <x:row r="23">
      <x:c r="A23" t="str">
        <x:v>TXN-00020</x:v>
      </x:c>
      <x:c r="B23" s="10" t="n">
        <x:v>46049</x:v>
      </x:c>
      <x:c r="C23" t="str">
        <x:v>2026-01</x:v>
      </x:c>
      <x:c r="D23" t="str">
        <x:v>Revenue</x:v>
      </x:c>
      <x:c r="E23" t="str">
        <x:v>Technology</x:v>
      </x:c>
      <x:c r="F23" s="11" t="n">
        <x:v>25459</x:v>
      </x:c>
      <x:c r="G23" s="11" t="n">
        <x:v>24605.04</x:v>
      </x:c>
      <x:c r="H23" t="str">
        <x:v>finance_2026_01.csv</x:v>
      </x:c>
    </x:row>
    <x:row r="24">
      <x:c r="A24" t="str">
        <x:v>TXN-00021</x:v>
      </x:c>
      <x:c r="B24" s="10" t="n">
        <x:v>46048</x:v>
      </x:c>
      <x:c r="C24" t="str">
        <x:v>2026-01</x:v>
      </x:c>
      <x:c r="D24" t="str">
        <x:v>Revenue</x:v>
      </x:c>
      <x:c r="E24" t="str">
        <x:v>People</x:v>
      </x:c>
      <x:c r="F24" s="11" t="n">
        <x:v>21441</x:v>
      </x:c>
      <x:c r="G24" s="11" t="n">
        <x:v>19691.98</x:v>
      </x:c>
      <x:c r="H24" t="str">
        <x:v>finance_2026_01.csv</x:v>
      </x:c>
    </x:row>
    <x:row r="25">
      <x:c r="A25" t="str">
        <x:v>TXN-00022</x:v>
      </x:c>
      <x:c r="B25" s="10" t="n">
        <x:v>46031</x:v>
      </x:c>
      <x:c r="C25" t="str">
        <x:v>2026-01</x:v>
      </x:c>
      <x:c r="D25" t="str">
        <x:v>Revenue</x:v>
      </x:c>
      <x:c r="E25" t="str">
        <x:v>People</x:v>
      </x:c>
      <x:c r="F25" s="11" t="n">
        <x:v>19704</x:v>
      </x:c>
      <x:c r="G25" s="11" t="n">
        <x:v>20217.16</x:v>
      </x:c>
      <x:c r="H25" t="str">
        <x:v>finance_2026_01.csv</x:v>
      </x:c>
    </x:row>
    <x:row r="26">
      <x:c r="A26" t="str">
        <x:v>TXN-00023</x:v>
      </x:c>
      <x:c r="B26" s="10" t="n">
        <x:v>46027</x:v>
      </x:c>
      <x:c r="C26" t="str">
        <x:v>2026-01</x:v>
      </x:c>
      <x:c r="D26" t="str">
        <x:v>Revenue</x:v>
      </x:c>
      <x:c r="E26" t="str">
        <x:v>People</x:v>
      </x:c>
      <x:c r="F26" s="11" t="n">
        <x:v>20796</x:v>
      </x:c>
      <x:c r="G26" s="11" t="n">
        <x:v>19344.76</x:v>
      </x:c>
      <x:c r="H26" t="str">
        <x:v>finance_2026_01.csv</x:v>
      </x:c>
    </x:row>
    <x:row r="27">
      <x:c r="A27" t="str">
        <x:v>TXN-00024</x:v>
      </x:c>
      <x:c r="B27" s="10" t="n">
        <x:v>46036</x:v>
      </x:c>
      <x:c r="C27" t="str">
        <x:v>2026-01</x:v>
      </x:c>
      <x:c r="D27" t="str">
        <x:v>Revenue</x:v>
      </x:c>
      <x:c r="E27" t="str">
        <x:v>General &amp; Admin</x:v>
      </x:c>
      <x:c r="F27" s="11" t="n">
        <x:v>25346</x:v>
      </x:c>
      <x:c r="G27" s="11" t="n">
        <x:v>24400.77</x:v>
      </x:c>
      <x:c r="H27" t="str">
        <x:v>finance_2026_01.csv</x:v>
      </x:c>
    </x:row>
    <x:row r="28">
      <x:c r="A28" t="str">
        <x:v>TXN-00025</x:v>
      </x:c>
      <x:c r="B28" s="10" t="n">
        <x:v>46027</x:v>
      </x:c>
      <x:c r="C28" t="str">
        <x:v>2026-01</x:v>
      </x:c>
      <x:c r="D28" t="str">
        <x:v>Revenue</x:v>
      </x:c>
      <x:c r="E28" t="str">
        <x:v>People</x:v>
      </x:c>
      <x:c r="F28" s="11" t="n">
        <x:v>21411</x:v>
      </x:c>
      <x:c r="G28" s="11" t="n">
        <x:v>20334.18</x:v>
      </x:c>
      <x:c r="H28" t="str">
        <x:v>finance_2026_01.csv</x:v>
      </x:c>
    </x:row>
    <x:row r="29">
      <x:c r="A29" t="str">
        <x:v>TXN-00026</x:v>
      </x:c>
      <x:c r="B29" s="10" t="n">
        <x:v>46040</x:v>
      </x:c>
      <x:c r="C29" t="str">
        <x:v>2026-01</x:v>
      </x:c>
      <x:c r="D29" t="str">
        <x:v>Revenue</x:v>
      </x:c>
      <x:c r="E29" t="str">
        <x:v>Technology</x:v>
      </x:c>
      <x:c r="F29" s="11" t="n">
        <x:v>20521</x:v>
      </x:c>
      <x:c r="G29" s="11" t="n">
        <x:v>19721.81</x:v>
      </x:c>
      <x:c r="H29" t="str">
        <x:v>finance_2026_01.csv</x:v>
      </x:c>
    </x:row>
    <x:row r="30">
      <x:c r="A30" t="str">
        <x:v>TXN-00027</x:v>
      </x:c>
      <x:c r="B30" s="10" t="n">
        <x:v>46042</x:v>
      </x:c>
      <x:c r="C30" t="str">
        <x:v>2026-01</x:v>
      </x:c>
      <x:c r="D30" t="str">
        <x:v>Revenue</x:v>
      </x:c>
      <x:c r="E30" t="str">
        <x:v>People</x:v>
      </x:c>
      <x:c r="F30" s="11" t="n">
        <x:v>16981</x:v>
      </x:c>
      <x:c r="G30" s="11" t="n">
        <x:v>16698.45</x:v>
      </x:c>
      <x:c r="H30" t="str">
        <x:v>finance_2026_01.csv</x:v>
      </x:c>
    </x:row>
    <x:row r="31">
      <x:c r="A31" t="str">
        <x:v>TXN-00028</x:v>
      </x:c>
      <x:c r="B31" s="10" t="n">
        <x:v>46039</x:v>
      </x:c>
      <x:c r="C31" t="str">
        <x:v>2026-01</x:v>
      </x:c>
      <x:c r="D31" t="str">
        <x:v>Revenue</x:v>
      </x:c>
      <x:c r="E31" t="str">
        <x:v>General &amp; Admin</x:v>
      </x:c>
      <x:c r="F31" s="11" t="n">
        <x:v>16133</x:v>
      </x:c>
      <x:c r="G31" s="11" t="n">
        <x:v>16276.49</x:v>
      </x:c>
      <x:c r="H31" t="str">
        <x:v>finance_2026_01.csv</x:v>
      </x:c>
    </x:row>
    <x:row r="32">
      <x:c r="A32" t="str">
        <x:v>TXN-00029</x:v>
      </x:c>
      <x:c r="B32" s="10" t="n">
        <x:v>46033</x:v>
      </x:c>
      <x:c r="C32" t="str">
        <x:v>2026-01</x:v>
      </x:c>
      <x:c r="D32" t="str">
        <x:v>Revenue</x:v>
      </x:c>
      <x:c r="E32" t="str">
        <x:v>General &amp; Admin</x:v>
      </x:c>
      <x:c r="F32" s="11" t="n">
        <x:v>14032</x:v>
      </x:c>
      <x:c r="G32" s="11" t="n">
        <x:v>13651.72</x:v>
      </x:c>
      <x:c r="H32" t="str">
        <x:v>finance_2026_01.csv</x:v>
      </x:c>
    </x:row>
    <x:row r="33">
      <x:c r="A33" t="str">
        <x:v>TXN-00030</x:v>
      </x:c>
      <x:c r="B33" s="10" t="n">
        <x:v>46038</x:v>
      </x:c>
      <x:c r="C33" t="str">
        <x:v>2026-01</x:v>
      </x:c>
      <x:c r="D33" t="str">
        <x:v>Revenue</x:v>
      </x:c>
      <x:c r="E33" t="str">
        <x:v>General &amp; Admin</x:v>
      </x:c>
      <x:c r="F33" s="11" t="n">
        <x:v>14070</x:v>
      </x:c>
      <x:c r="G33" s="11" t="n">
        <x:v>13875.52</x:v>
      </x:c>
      <x:c r="H33" t="str">
        <x:v>finance_2026_01.csv</x:v>
      </x:c>
    </x:row>
    <x:row r="34">
      <x:c r="A34" t="str">
        <x:v>TXN-00031</x:v>
      </x:c>
      <x:c r="B34" s="10" t="n">
        <x:v>46032</x:v>
      </x:c>
      <x:c r="C34" t="str">
        <x:v>2026-01</x:v>
      </x:c>
      <x:c r="D34" t="str">
        <x:v>Revenue</x:v>
      </x:c>
      <x:c r="E34" t="str">
        <x:v>General &amp; Admin</x:v>
      </x:c>
      <x:c r="F34" s="11" t="n">
        <x:v>19379</x:v>
      </x:c>
      <x:c r="G34" s="11" t="n">
        <x:v>18588.36</x:v>
      </x:c>
      <x:c r="H34" t="str">
        <x:v>finance_2026_01.csv</x:v>
      </x:c>
    </x:row>
    <x:row r="35">
      <x:c r="A35" t="str">
        <x:v>TXN-00032</x:v>
      </x:c>
      <x:c r="B35" s="10" t="n">
        <x:v>46024</x:v>
      </x:c>
      <x:c r="C35" t="str">
        <x:v>2026-01</x:v>
      </x:c>
      <x:c r="D35" t="str">
        <x:v>Revenue</x:v>
      </x:c>
      <x:c r="E35" t="str">
        <x:v>Operations</x:v>
      </x:c>
      <x:c r="F35" s="11" t="n">
        <x:v>14501</x:v>
      </x:c>
      <x:c r="G35" s="11" t="n">
        <x:v>13821.4</x:v>
      </x:c>
      <x:c r="H35" t="str">
        <x:v>finance_2026_01.csv</x:v>
      </x:c>
    </x:row>
    <x:row r="36">
      <x:c r="A36" t="str">
        <x:v>TXN-00033</x:v>
      </x:c>
      <x:c r="B36" s="10" t="n">
        <x:v>46040</x:v>
      </x:c>
      <x:c r="C36" t="str">
        <x:v>2026-01</x:v>
      </x:c>
      <x:c r="D36" t="str">
        <x:v>Revenue</x:v>
      </x:c>
      <x:c r="E36" t="str">
        <x:v>General &amp; Admin</x:v>
      </x:c>
      <x:c r="F36" s="11" t="n">
        <x:v>12629</x:v>
      </x:c>
      <x:c r="G36" s="11" t="n">
        <x:v>11927.41</x:v>
      </x:c>
      <x:c r="H36" t="str">
        <x:v>finance_2026_01.csv</x:v>
      </x:c>
    </x:row>
    <x:row r="37">
      <x:c r="A37" t="str">
        <x:v>TXN-00034</x:v>
      </x:c>
      <x:c r="B37" s="10" t="n">
        <x:v>46025</x:v>
      </x:c>
      <x:c r="C37" t="str">
        <x:v>2026-01</x:v>
      </x:c>
      <x:c r="D37" t="str">
        <x:v>Revenue</x:v>
      </x:c>
      <x:c r="E37" t="str">
        <x:v>Sales &amp; Marketing</x:v>
      </x:c>
      <x:c r="F37" s="11" t="n">
        <x:v>18168</x:v>
      </x:c>
      <x:c r="G37" s="11" t="n">
        <x:v>17171.05</x:v>
      </x:c>
      <x:c r="H37" t="str">
        <x:v>finance_2026_01.csv</x:v>
      </x:c>
    </x:row>
    <x:row r="38">
      <x:c r="A38" t="str">
        <x:v>TXN-00035</x:v>
      </x:c>
      <x:c r="B38" s="10" t="n">
        <x:v>46041</x:v>
      </x:c>
      <x:c r="C38" t="str">
        <x:v>2026-01</x:v>
      </x:c>
      <x:c r="D38" t="str">
        <x:v>Revenue</x:v>
      </x:c>
      <x:c r="E38" t="str">
        <x:v>Operations</x:v>
      </x:c>
      <x:c r="F38" s="11" t="n">
        <x:v>22930</x:v>
      </x:c>
      <x:c r="G38" s="11" t="n">
        <x:v>22348.75</x:v>
      </x:c>
      <x:c r="H38" t="str">
        <x:v>finance_2026_01.csv</x:v>
      </x:c>
    </x:row>
    <x:row r="39">
      <x:c r="A39" t="str">
        <x:v>TXN-00036</x:v>
      </x:c>
      <x:c r="B39" s="10" t="n">
        <x:v>46042</x:v>
      </x:c>
      <x:c r="C39" t="str">
        <x:v>2026-01</x:v>
      </x:c>
      <x:c r="D39" t="str">
        <x:v>Revenue</x:v>
      </x:c>
      <x:c r="E39" t="str">
        <x:v>Operations</x:v>
      </x:c>
      <x:c r="F39" s="11" t="n">
        <x:v>9395</x:v>
      </x:c>
      <x:c r="G39" s="11" t="n">
        <x:v>9494.95</x:v>
      </x:c>
      <x:c r="H39" t="str">
        <x:v>finance_2026_01.csv</x:v>
      </x:c>
    </x:row>
    <x:row r="40">
      <x:c r="A40" t="str">
        <x:v>TXN-00037</x:v>
      </x:c>
      <x:c r="B40" s="10" t="n">
        <x:v>46039</x:v>
      </x:c>
      <x:c r="C40" t="str">
        <x:v>2026-01</x:v>
      </x:c>
      <x:c r="D40" t="str">
        <x:v>Revenue</x:v>
      </x:c>
      <x:c r="E40" t="str">
        <x:v>Technology</x:v>
      </x:c>
      <x:c r="F40" s="11" t="n">
        <x:v>19910</x:v>
      </x:c>
      <x:c r="G40" s="11" t="n">
        <x:v>18817.08</x:v>
      </x:c>
      <x:c r="H40" t="str">
        <x:v>finance_2026_01.csv</x:v>
      </x:c>
    </x:row>
    <x:row r="41">
      <x:c r="A41" t="str">
        <x:v>TXN-00038</x:v>
      </x:c>
      <x:c r="B41" s="10" t="n">
        <x:v>46039</x:v>
      </x:c>
      <x:c r="C41" t="str">
        <x:v>2026-01</x:v>
      </x:c>
      <x:c r="D41" t="str">
        <x:v>Revenue</x:v>
      </x:c>
      <x:c r="E41" t="str">
        <x:v>People</x:v>
      </x:c>
      <x:c r="F41" s="11" t="n">
        <x:v>17797</x:v>
      </x:c>
      <x:c r="G41" s="11" t="n">
        <x:v>18241.48</x:v>
      </x:c>
      <x:c r="H41" t="str">
        <x:v>finance_2026_01.csv</x:v>
      </x:c>
    </x:row>
    <x:row r="42">
      <x:c r="A42" t="str">
        <x:v>TXN-00039</x:v>
      </x:c>
      <x:c r="B42" s="10" t="n">
        <x:v>46036</x:v>
      </x:c>
      <x:c r="C42" t="str">
        <x:v>2026-01</x:v>
      </x:c>
      <x:c r="D42" t="str">
        <x:v>Revenue</x:v>
      </x:c>
      <x:c r="E42" t="str">
        <x:v>Sales &amp; Marketing</x:v>
      </x:c>
      <x:c r="F42" s="11" t="n">
        <x:v>17071</x:v>
      </x:c>
      <x:c r="G42" s="11" t="n">
        <x:v>15928.18</x:v>
      </x:c>
      <x:c r="H42" t="str">
        <x:v>finance_2026_01.csv</x:v>
      </x:c>
    </x:row>
    <x:row r="43">
      <x:c r="A43" t="str">
        <x:v>TXN-00040</x:v>
      </x:c>
      <x:c r="B43" s="10" t="n">
        <x:v>46033</x:v>
      </x:c>
      <x:c r="C43" t="str">
        <x:v>2026-01</x:v>
      </x:c>
      <x:c r="D43" t="str">
        <x:v>Revenue</x:v>
      </x:c>
      <x:c r="E43" t="str">
        <x:v>Technology</x:v>
      </x:c>
      <x:c r="F43" s="11" t="n">
        <x:v>16363</x:v>
      </x:c>
      <x:c r="G43" s="11" t="n">
        <x:v>15827.25</x:v>
      </x:c>
      <x:c r="H43" t="str">
        <x:v>finance_2026_01.csv</x:v>
      </x:c>
    </x:row>
    <x:row r="44">
      <x:c r="A44" t="str">
        <x:v>TXN-00041</x:v>
      </x:c>
      <x:c r="B44" s="10" t="n">
        <x:v>46042</x:v>
      </x:c>
      <x:c r="C44" t="str">
        <x:v>2026-01</x:v>
      </x:c>
      <x:c r="D44" t="str">
        <x:v>Revenue</x:v>
      </x:c>
      <x:c r="E44" t="str">
        <x:v>Technology</x:v>
      </x:c>
      <x:c r="F44" s="11" t="n">
        <x:v>13707</x:v>
      </x:c>
      <x:c r="G44" s="11" t="n">
        <x:v>14238.95</x:v>
      </x:c>
      <x:c r="H44" t="str">
        <x:v>finance_2026_01.csv</x:v>
      </x:c>
    </x:row>
    <x:row r="45">
      <x:c r="A45" t="str">
        <x:v>TXN-00042</x:v>
      </x:c>
      <x:c r="B45" s="10" t="n">
        <x:v>46035</x:v>
      </x:c>
      <x:c r="C45" t="str">
        <x:v>2026-01</x:v>
      </x:c>
      <x:c r="D45" t="str">
        <x:v>Revenue</x:v>
      </x:c>
      <x:c r="E45" t="str">
        <x:v>Operations</x:v>
      </x:c>
      <x:c r="F45" s="11" t="n">
        <x:v>15045</x:v>
      </x:c>
      <x:c r="G45" s="11" t="n">
        <x:v>13804.3</x:v>
      </x:c>
      <x:c r="H45" t="str">
        <x:v>finance_2026_01.csv</x:v>
      </x:c>
    </x:row>
    <x:row r="46">
      <x:c r="A46" t="str">
        <x:v>TXN-00043</x:v>
      </x:c>
      <x:c r="B46" s="10" t="n">
        <x:v>46031</x:v>
      </x:c>
      <x:c r="C46" t="str">
        <x:v>2026-01</x:v>
      </x:c>
      <x:c r="D46" t="str">
        <x:v>Revenue</x:v>
      </x:c>
      <x:c r="E46" t="str">
        <x:v>General &amp; Admin</x:v>
      </x:c>
      <x:c r="F46" s="11" t="n">
        <x:v>14416</x:v>
      </x:c>
      <x:c r="G46" s="11" t="n">
        <x:v>14771.57</x:v>
      </x:c>
      <x:c r="H46" t="str">
        <x:v>finance_2026_01.csv</x:v>
      </x:c>
    </x:row>
    <x:row r="47">
      <x:c r="A47" t="str">
        <x:v>TXN-00044</x:v>
      </x:c>
      <x:c r="B47" s="10" t="n">
        <x:v>46026</x:v>
      </x:c>
      <x:c r="C47" t="str">
        <x:v>2026-01</x:v>
      </x:c>
      <x:c r="D47" t="str">
        <x:v>Revenue</x:v>
      </x:c>
      <x:c r="E47" t="str">
        <x:v>Technology</x:v>
      </x:c>
      <x:c r="F47" s="11" t="n">
        <x:v>18738</x:v>
      </x:c>
      <x:c r="G47" s="11" t="n">
        <x:v>19279.41</x:v>
      </x:c>
      <x:c r="H47" t="str">
        <x:v>finance_2026_01.csv</x:v>
      </x:c>
    </x:row>
    <x:row r="48">
      <x:c r="A48" t="str">
        <x:v>TXN-00045</x:v>
      </x:c>
      <x:c r="B48" s="10" t="n">
        <x:v>46038</x:v>
      </x:c>
      <x:c r="C48" t="str">
        <x:v>2026-01</x:v>
      </x:c>
      <x:c r="D48" t="str">
        <x:v>Revenue</x:v>
      </x:c>
      <x:c r="E48" t="str">
        <x:v>Sales &amp; Marketing</x:v>
      </x:c>
      <x:c r="F48" s="11" t="n">
        <x:v>19308</x:v>
      </x:c>
      <x:c r="G48" s="11" t="n">
        <x:v>18013.07</x:v>
      </x:c>
      <x:c r="H48" t="str">
        <x:v>finance_2026_01.csv</x:v>
      </x:c>
    </x:row>
    <x:row r="49">
      <x:c r="A49" t="str">
        <x:v>TXN-00046</x:v>
      </x:c>
      <x:c r="B49" s="10" t="n">
        <x:v>46046</x:v>
      </x:c>
      <x:c r="C49" t="str">
        <x:v>2026-01</x:v>
      </x:c>
      <x:c r="D49" t="str">
        <x:v>Cost</x:v>
      </x:c>
      <x:c r="E49" t="str">
        <x:v>Operations</x:v>
      </x:c>
      <x:c r="F49" s="11" t="n">
        <x:v>-11347</x:v>
      </x:c>
      <x:c r="G49" s="11" t="n">
        <x:v>-10959.32</x:v>
      </x:c>
      <x:c r="H49" t="str">
        <x:v>finance_2026_01.csv</x:v>
      </x:c>
    </x:row>
    <x:row r="50">
      <x:c r="A50" t="str">
        <x:v>TXN-00047</x:v>
      </x:c>
      <x:c r="B50" s="10" t="n">
        <x:v>46036</x:v>
      </x:c>
      <x:c r="C50" t="str">
        <x:v>2026-01</x:v>
      </x:c>
      <x:c r="D50" t="str">
        <x:v>Cost</x:v>
      </x:c>
      <x:c r="E50" t="str">
        <x:v>Sales &amp; Marketing</x:v>
      </x:c>
      <x:c r="F50" s="11" t="n">
        <x:v>-8133</x:v>
      </x:c>
      <x:c r="G50" s="11" t="n">
        <x:v>-8489.1</x:v>
      </x:c>
      <x:c r="H50" t="str">
        <x:v>finance_2026_01.csv</x:v>
      </x:c>
    </x:row>
    <x:row r="51">
      <x:c r="A51" t="str">
        <x:v>TXN-00048</x:v>
      </x:c>
      <x:c r="B51" s="10" t="n">
        <x:v>46031</x:v>
      </x:c>
      <x:c r="C51" t="str">
        <x:v>2026-01</x:v>
      </x:c>
      <x:c r="D51" t="str">
        <x:v>Cost</x:v>
      </x:c>
      <x:c r="E51" t="str">
        <x:v>People</x:v>
      </x:c>
      <x:c r="F51" s="11" t="n">
        <x:v>-9560</x:v>
      </x:c>
      <x:c r="G51" s="11" t="n">
        <x:v>-9201.01</x:v>
      </x:c>
      <x:c r="H51" t="str">
        <x:v>finance_2026_01.csv</x:v>
      </x:c>
    </x:row>
    <x:row r="52">
      <x:c r="A52" t="str">
        <x:v>TXN-00049</x:v>
      </x:c>
      <x:c r="B52" s="10" t="n">
        <x:v>46025</x:v>
      </x:c>
      <x:c r="C52" t="str">
        <x:v>2026-01</x:v>
      </x:c>
      <x:c r="D52" t="str">
        <x:v>Cost</x:v>
      </x:c>
      <x:c r="E52" t="str">
        <x:v>People</x:v>
      </x:c>
      <x:c r="F52" s="11" t="n">
        <x:v>-6714</x:v>
      </x:c>
      <x:c r="G52" s="11" t="n">
        <x:v>-6628.41</x:v>
      </x:c>
      <x:c r="H52" t="str">
        <x:v>finance_2026_01.csv</x:v>
      </x:c>
    </x:row>
    <x:row r="53">
      <x:c r="A53" t="str">
        <x:v>TXN-00050</x:v>
      </x:c>
      <x:c r="B53" s="10" t="n">
        <x:v>46045</x:v>
      </x:c>
      <x:c r="C53" t="str">
        <x:v>2026-01</x:v>
      </x:c>
      <x:c r="D53" t="str">
        <x:v>Cost</x:v>
      </x:c>
      <x:c r="E53" t="str">
        <x:v>Operations</x:v>
      </x:c>
      <x:c r="F53" s="11" t="n">
        <x:v>-11419</x:v>
      </x:c>
      <x:c r="G53" s="11" t="n">
        <x:v>-11800.71</x:v>
      </x:c>
      <x:c r="H53" t="str">
        <x:v>finance_2026_01.csv</x:v>
      </x:c>
    </x:row>
    <x:row r="54">
      <x:c r="A54" t="str">
        <x:v>TXN-00051</x:v>
      </x:c>
      <x:c r="B54" s="10" t="n">
        <x:v>46031</x:v>
      </x:c>
      <x:c r="C54" t="str">
        <x:v>2026-01</x:v>
      </x:c>
      <x:c r="D54" t="str">
        <x:v>Cost</x:v>
      </x:c>
      <x:c r="E54" t="str">
        <x:v>General &amp; Admin</x:v>
      </x:c>
      <x:c r="F54" s="11" t="n">
        <x:v>-3543</x:v>
      </x:c>
      <x:c r="G54" s="11" t="n">
        <x:v>-3486.04</x:v>
      </x:c>
      <x:c r="H54" t="str">
        <x:v>finance_2026_01.csv</x:v>
      </x:c>
    </x:row>
    <x:row r="55">
      <x:c r="A55" t="str">
        <x:v>TXN-00052</x:v>
      </x:c>
      <x:c r="B55" s="10" t="n">
        <x:v>46038</x:v>
      </x:c>
      <x:c r="C55" t="str">
        <x:v>2026-01</x:v>
      </x:c>
      <x:c r="D55" t="str">
        <x:v>Cost</x:v>
      </x:c>
      <x:c r="E55" t="str">
        <x:v>People</x:v>
      </x:c>
      <x:c r="F55" s="11" t="n">
        <x:v>-3326</x:v>
      </x:c>
      <x:c r="G55" s="11" t="n">
        <x:v>-3500.31</x:v>
      </x:c>
      <x:c r="H55" t="str">
        <x:v>finance_2026_01.csv</x:v>
      </x:c>
    </x:row>
    <x:row r="56">
      <x:c r="A56" t="str">
        <x:v>TXN-00053</x:v>
      </x:c>
      <x:c r="B56" s="10" t="n">
        <x:v>46024</x:v>
      </x:c>
      <x:c r="C56" t="str">
        <x:v>2026-01</x:v>
      </x:c>
      <x:c r="D56" t="str">
        <x:v>Cost</x:v>
      </x:c>
      <x:c r="E56" t="str">
        <x:v>People</x:v>
      </x:c>
      <x:c r="F56" s="11" t="n">
        <x:v>-13872</x:v>
      </x:c>
      <x:c r="G56" s="11" t="n">
        <x:v>-13749.18</x:v>
      </x:c>
      <x:c r="H56" t="str">
        <x:v>finance_2026_01.csv</x:v>
      </x:c>
    </x:row>
    <x:row r="57">
      <x:c r="A57" t="str">
        <x:v>TXN-00054</x:v>
      </x:c>
      <x:c r="B57" s="10" t="n">
        <x:v>46042</x:v>
      </x:c>
      <x:c r="C57" t="str">
        <x:v>2026-01</x:v>
      </x:c>
      <x:c r="D57" t="str">
        <x:v>Cost</x:v>
      </x:c>
      <x:c r="E57" t="str">
        <x:v>Technology</x:v>
      </x:c>
      <x:c r="F57" s="11" t="n">
        <x:v>-5918</x:v>
      </x:c>
      <x:c r="G57" s="11" t="n">
        <x:v>-6265.25</x:v>
      </x:c>
      <x:c r="H57" t="str">
        <x:v>finance_2026_01.csv</x:v>
      </x:c>
    </x:row>
    <x:row r="58">
      <x:c r="A58" t="str">
        <x:v>TXN-00055</x:v>
      </x:c>
      <x:c r="B58" s="10" t="n">
        <x:v>46039</x:v>
      </x:c>
      <x:c r="C58" t="str">
        <x:v>2026-01</x:v>
      </x:c>
      <x:c r="D58" t="str">
        <x:v>Cost</x:v>
      </x:c>
      <x:c r="E58" t="str">
        <x:v>Technology</x:v>
      </x:c>
      <x:c r="F58" s="11" t="n">
        <x:v>-12129</x:v>
      </x:c>
      <x:c r="G58" s="11" t="n">
        <x:v>-11174.21</x:v>
      </x:c>
      <x:c r="H58" t="str">
        <x:v>finance_2026_01.csv</x:v>
      </x:c>
    </x:row>
    <x:row r="59">
      <x:c r="A59" t="str">
        <x:v>TXN-00056</x:v>
      </x:c>
      <x:c r="B59" s="10" t="n">
        <x:v>46027</x:v>
      </x:c>
      <x:c r="C59" t="str">
        <x:v>2026-01</x:v>
      </x:c>
      <x:c r="D59" t="str">
        <x:v>Cost</x:v>
      </x:c>
      <x:c r="E59" t="str">
        <x:v>Operations</x:v>
      </x:c>
      <x:c r="F59" s="11" t="n">
        <x:v>-4112</x:v>
      </x:c>
      <x:c r="G59" s="11" t="n">
        <x:v>-4046.23</x:v>
      </x:c>
      <x:c r="H59" t="str">
        <x:v>finance_2026_01.csv</x:v>
      </x:c>
    </x:row>
    <x:row r="60">
      <x:c r="A60" t="str">
        <x:v>TXN-00057</x:v>
      </x:c>
      <x:c r="B60" s="10" t="n">
        <x:v>46039</x:v>
      </x:c>
      <x:c r="C60" t="str">
        <x:v>2026-01</x:v>
      </x:c>
      <x:c r="D60" t="str">
        <x:v>Cost</x:v>
      </x:c>
      <x:c r="E60" t="str">
        <x:v>Sales &amp; Marketing</x:v>
      </x:c>
      <x:c r="F60" s="11" t="n">
        <x:v>-5086</x:v>
      </x:c>
      <x:c r="G60" s="11" t="n">
        <x:v>-4936.89</x:v>
      </x:c>
      <x:c r="H60" t="str">
        <x:v>finance_2026_01.csv</x:v>
      </x:c>
    </x:row>
    <x:row r="61">
      <x:c r="A61" t="str">
        <x:v>TXN-00058</x:v>
      </x:c>
      <x:c r="B61" s="10" t="n">
        <x:v>46050</x:v>
      </x:c>
      <x:c r="C61" t="str">
        <x:v>2026-01</x:v>
      </x:c>
      <x:c r="D61" t="str">
        <x:v>Cost</x:v>
      </x:c>
      <x:c r="E61" t="str">
        <x:v>Sales &amp; Marketing</x:v>
      </x:c>
      <x:c r="F61" s="11" t="n">
        <x:v>-12127</x:v>
      </x:c>
      <x:c r="G61" s="11" t="n">
        <x:v>-11958.25</x:v>
      </x:c>
      <x:c r="H61" t="str">
        <x:v>finance_2026_01.csv</x:v>
      </x:c>
    </x:row>
    <x:row r="62">
      <x:c r="A62" t="str">
        <x:v>TXN-00059</x:v>
      </x:c>
      <x:c r="B62" s="10" t="n">
        <x:v>46047</x:v>
      </x:c>
      <x:c r="C62" t="str">
        <x:v>2026-01</x:v>
      </x:c>
      <x:c r="D62" t="str">
        <x:v>Cost</x:v>
      </x:c>
      <x:c r="E62" t="str">
        <x:v>General &amp; Admin</x:v>
      </x:c>
      <x:c r="F62" s="11" t="n">
        <x:v>-4344</x:v>
      </x:c>
      <x:c r="G62" s="11" t="n">
        <x:v>-4464.79</x:v>
      </x:c>
      <x:c r="H62" t="str">
        <x:v>finance_2026_01.csv</x:v>
      </x:c>
    </x:row>
    <x:row r="63">
      <x:c r="A63" t="str">
        <x:v>TXN-00060</x:v>
      </x:c>
      <x:c r="B63" s="10" t="n">
        <x:v>46031</x:v>
      </x:c>
      <x:c r="C63" t="str">
        <x:v>2026-01</x:v>
      </x:c>
      <x:c r="D63" t="str">
        <x:v>Cost</x:v>
      </x:c>
      <x:c r="E63" t="str">
        <x:v>General &amp; Admin</x:v>
      </x:c>
      <x:c r="F63" s="11" t="n">
        <x:v>-2819</x:v>
      </x:c>
      <x:c r="G63" s="11" t="n">
        <x:v>-2895.73</x:v>
      </x:c>
      <x:c r="H63" t="str">
        <x:v>finance_2026_01.csv</x:v>
      </x:c>
    </x:row>
    <x:row r="64">
      <x:c r="A64" t="str">
        <x:v>TXN-00061</x:v>
      </x:c>
      <x:c r="B64" s="10" t="n">
        <x:v>46026</x:v>
      </x:c>
      <x:c r="C64" t="str">
        <x:v>2026-01</x:v>
      </x:c>
      <x:c r="D64" t="str">
        <x:v>Cost</x:v>
      </x:c>
      <x:c r="E64" t="str">
        <x:v>Operations</x:v>
      </x:c>
      <x:c r="F64" s="11" t="n">
        <x:v>-6833</x:v>
      </x:c>
      <x:c r="G64" s="11" t="n">
        <x:v>-7363.63</x:v>
      </x:c>
      <x:c r="H64" t="str">
        <x:v>finance_2026_01.csv</x:v>
      </x:c>
    </x:row>
    <x:row r="65">
      <x:c r="A65" t="str">
        <x:v>TXN-00062</x:v>
      </x:c>
      <x:c r="B65" s="10" t="n">
        <x:v>46025</x:v>
      </x:c>
      <x:c r="C65" t="str">
        <x:v>2026-01</x:v>
      </x:c>
      <x:c r="D65" t="str">
        <x:v>Cost</x:v>
      </x:c>
      <x:c r="E65" t="str">
        <x:v>Operations</x:v>
      </x:c>
      <x:c r="F65" s="11" t="n">
        <x:v>-13418</x:v>
      </x:c>
      <x:c r="G65" s="11" t="n">
        <x:v>-13507.31</x:v>
      </x:c>
      <x:c r="H65" t="str">
        <x:v>finance_2026_01.csv</x:v>
      </x:c>
    </x:row>
    <x:row r="66">
      <x:c r="A66" t="str">
        <x:v>TXN-00063</x:v>
      </x:c>
      <x:c r="B66" s="10" t="n">
        <x:v>46034</x:v>
      </x:c>
      <x:c r="C66" t="str">
        <x:v>2026-01</x:v>
      </x:c>
      <x:c r="D66" t="str">
        <x:v>Cost</x:v>
      </x:c>
      <x:c r="E66" t="str">
        <x:v>General &amp; Admin</x:v>
      </x:c>
      <x:c r="F66" s="11" t="n">
        <x:v>-11272</x:v>
      </x:c>
      <x:c r="G66" s="11" t="n">
        <x:v>-11305.52</x:v>
      </x:c>
      <x:c r="H66" t="str">
        <x:v>finance_2026_01.csv</x:v>
      </x:c>
    </x:row>
    <x:row r="67">
      <x:c r="A67" t="str">
        <x:v>TXN-00064</x:v>
      </x:c>
      <x:c r="B67" s="10" t="n">
        <x:v>46030</x:v>
      </x:c>
      <x:c r="C67" t="str">
        <x:v>2026-01</x:v>
      </x:c>
      <x:c r="D67" t="str">
        <x:v>Cost</x:v>
      </x:c>
      <x:c r="E67" t="str">
        <x:v>People</x:v>
      </x:c>
      <x:c r="F67" s="11" t="n">
        <x:v>-12275</x:v>
      </x:c>
      <x:c r="G67" s="11" t="n">
        <x:v>-12459.81</x:v>
      </x:c>
      <x:c r="H67" t="str">
        <x:v>finance_2026_01.csv</x:v>
      </x:c>
    </x:row>
    <x:row r="68">
      <x:c r="A68" t="str">
        <x:v>TXN-00065</x:v>
      </x:c>
      <x:c r="B68" s="10" t="n">
        <x:v>46023</x:v>
      </x:c>
      <x:c r="C68" t="str">
        <x:v>2026-01</x:v>
      </x:c>
      <x:c r="D68" t="str">
        <x:v>Cost</x:v>
      </x:c>
      <x:c r="E68" t="str">
        <x:v>General &amp; Admin</x:v>
      </x:c>
      <x:c r="F68" s="11" t="n">
        <x:v>-10920</x:v>
      </x:c>
      <x:c r="G68" s="11" t="n">
        <x:v>-11259.84</x:v>
      </x:c>
      <x:c r="H68" t="str">
        <x:v>finance_2026_01.csv</x:v>
      </x:c>
    </x:row>
    <x:row r="69">
      <x:c r="A69" t="str">
        <x:v>TXN-00066</x:v>
      </x:c>
      <x:c r="B69" s="10" t="n">
        <x:v>46033</x:v>
      </x:c>
      <x:c r="C69" t="str">
        <x:v>2026-01</x:v>
      </x:c>
      <x:c r="D69" t="str">
        <x:v>Cost</x:v>
      </x:c>
      <x:c r="E69" t="str">
        <x:v>General &amp; Admin</x:v>
      </x:c>
      <x:c r="F69" s="11" t="n">
        <x:v>-11759</x:v>
      </x:c>
      <x:c r="G69" s="11" t="n">
        <x:v>-12462.09</x:v>
      </x:c>
      <x:c r="H69" t="str">
        <x:v>finance_2026_01.csv</x:v>
      </x:c>
    </x:row>
    <x:row r="70">
      <x:c r="A70" t="str">
        <x:v>TXN-00067</x:v>
      </x:c>
      <x:c r="B70" s="10" t="n">
        <x:v>46030</x:v>
      </x:c>
      <x:c r="C70" t="str">
        <x:v>2026-01</x:v>
      </x:c>
      <x:c r="D70" t="str">
        <x:v>Cost</x:v>
      </x:c>
      <x:c r="E70" t="str">
        <x:v>People</x:v>
      </x:c>
      <x:c r="F70" s="11" t="n">
        <x:v>-4718</x:v>
      </x:c>
      <x:c r="G70" s="11" t="n">
        <x:v>-4857.17</x:v>
      </x:c>
      <x:c r="H70" t="str">
        <x:v>finance_2026_01.csv</x:v>
      </x:c>
    </x:row>
    <x:row r="71">
      <x:c r="A71" t="str">
        <x:v>TXN-00068</x:v>
      </x:c>
      <x:c r="B71" s="10" t="n">
        <x:v>46027</x:v>
      </x:c>
      <x:c r="C71" t="str">
        <x:v>2026-01</x:v>
      </x:c>
      <x:c r="D71" t="str">
        <x:v>Cost</x:v>
      </x:c>
      <x:c r="E71" t="str">
        <x:v>Technology</x:v>
      </x:c>
      <x:c r="F71" s="11" t="n">
        <x:v>-12068</x:v>
      </x:c>
      <x:c r="G71" s="11" t="n">
        <x:v>-12171.92</x:v>
      </x:c>
      <x:c r="H71" t="str">
        <x:v>finance_2026_01.csv</x:v>
      </x:c>
    </x:row>
    <x:row r="72">
      <x:c r="A72" t="str">
        <x:v>TXN-00069</x:v>
      </x:c>
      <x:c r="B72" s="10" t="n">
        <x:v>46037</x:v>
      </x:c>
      <x:c r="C72" t="str">
        <x:v>2026-01</x:v>
      </x:c>
      <x:c r="D72" t="str">
        <x:v>Cost</x:v>
      </x:c>
      <x:c r="E72" t="str">
        <x:v>Technology</x:v>
      </x:c>
      <x:c r="F72" s="11" t="n">
        <x:v>-4278</x:v>
      </x:c>
      <x:c r="G72" s="11" t="n">
        <x:v>-4565.53</x:v>
      </x:c>
      <x:c r="H72" t="str">
        <x:v>finance_2026_01.csv</x:v>
      </x:c>
    </x:row>
    <x:row r="73">
      <x:c r="A73" t="str">
        <x:v>TXN-00070</x:v>
      </x:c>
      <x:c r="B73" s="10" t="n">
        <x:v>46049</x:v>
      </x:c>
      <x:c r="C73" t="str">
        <x:v>2026-01</x:v>
      </x:c>
      <x:c r="D73" t="str">
        <x:v>Cost</x:v>
      </x:c>
      <x:c r="E73" t="str">
        <x:v>People</x:v>
      </x:c>
      <x:c r="F73" s="11" t="n">
        <x:v>-3426</x:v>
      </x:c>
      <x:c r="G73" s="11" t="n">
        <x:v>-3647.76</x:v>
      </x:c>
      <x:c r="H73" t="str">
        <x:v>finance_2026_01.csv</x:v>
      </x:c>
    </x:row>
    <x:row r="74">
      <x:c r="A74" t="str">
        <x:v>TXN-00071</x:v>
      </x:c>
      <x:c r="B74" s="10" t="n">
        <x:v>46050</x:v>
      </x:c>
      <x:c r="C74" t="str">
        <x:v>2026-01</x:v>
      </x:c>
      <x:c r="D74" t="str">
        <x:v>Cost</x:v>
      </x:c>
      <x:c r="E74" t="str">
        <x:v>Technology</x:v>
      </x:c>
      <x:c r="F74" s="11" t="n">
        <x:v>-14200</x:v>
      </x:c>
      <x:c r="G74" s="11" t="n">
        <x:v>-13611.67</x:v>
      </x:c>
      <x:c r="H74" t="str">
        <x:v>finance_2026_01.csv</x:v>
      </x:c>
    </x:row>
    <x:row r="75">
      <x:c r="A75" t="str">
        <x:v>TXN-00072</x:v>
      </x:c>
      <x:c r="B75" s="10" t="n">
        <x:v>46049</x:v>
      </x:c>
      <x:c r="C75" t="str">
        <x:v>2026-01</x:v>
      </x:c>
      <x:c r="D75" t="str">
        <x:v>Cost</x:v>
      </x:c>
      <x:c r="E75" t="str">
        <x:v>General &amp; Admin</x:v>
      </x:c>
      <x:c r="F75" s="11" t="n">
        <x:v>-12088</x:v>
      </x:c>
      <x:c r="G75" s="11" t="n">
        <x:v>-12444.11</x:v>
      </x:c>
      <x:c r="H75" t="str">
        <x:v>finance_2026_01.csv</x:v>
      </x:c>
    </x:row>
    <x:row r="76">
      <x:c r="A76" t="str">
        <x:v>TXN-00073</x:v>
      </x:c>
      <x:c r="B76" s="10" t="n">
        <x:v>46046</x:v>
      </x:c>
      <x:c r="C76" t="str">
        <x:v>2026-01</x:v>
      </x:c>
      <x:c r="D76" t="str">
        <x:v>Cost</x:v>
      </x:c>
      <x:c r="E76" t="str">
        <x:v>General &amp; Admin</x:v>
      </x:c>
      <x:c r="F76" s="11" t="n">
        <x:v>-9336</x:v>
      </x:c>
      <x:c r="G76" s="11" t="n">
        <x:v>-9954.82</x:v>
      </x:c>
      <x:c r="H76" t="str">
        <x:v>finance_2026_01.csv</x:v>
      </x:c>
    </x:row>
    <x:row r="77">
      <x:c r="A77" t="str">
        <x:v>TXN-00074</x:v>
      </x:c>
      <x:c r="B77" s="10" t="n">
        <x:v>46031</x:v>
      </x:c>
      <x:c r="C77" t="str">
        <x:v>2026-01</x:v>
      </x:c>
      <x:c r="D77" t="str">
        <x:v>Cost</x:v>
      </x:c>
      <x:c r="E77" t="str">
        <x:v>Operations</x:v>
      </x:c>
      <x:c r="F77" s="11" t="n">
        <x:v>-9923</x:v>
      </x:c>
      <x:c r="G77" s="11" t="n">
        <x:v>-10382.15</x:v>
      </x:c>
      <x:c r="H77" t="str">
        <x:v>finance_2026_01.csv</x:v>
      </x:c>
    </x:row>
    <x:row r="78">
      <x:c r="A78" t="str">
        <x:v>TXN-00075</x:v>
      </x:c>
      <x:c r="B78" s="10" t="n">
        <x:v>46036</x:v>
      </x:c>
      <x:c r="C78" t="str">
        <x:v>2026-01</x:v>
      </x:c>
      <x:c r="D78" t="str">
        <x:v>Cost</x:v>
      </x:c>
      <x:c r="E78" t="str">
        <x:v>Operations</x:v>
      </x:c>
      <x:c r="F78" s="11" t="n">
        <x:v>-5218</x:v>
      </x:c>
      <x:c r="G78" s="11" t="n">
        <x:v>-5082.72</x:v>
      </x:c>
      <x:c r="H78" t="str">
        <x:v>finance_2026_01.csv</x:v>
      </x:c>
    </x:row>
    <x:row r="79">
      <x:c r="A79" t="str">
        <x:v>TXN-00076</x:v>
      </x:c>
      <x:c r="B79" s="10" t="n">
        <x:v>46050</x:v>
      </x:c>
      <x:c r="C79" t="str">
        <x:v>2026-01</x:v>
      </x:c>
      <x:c r="D79" t="str">
        <x:v>Cost</x:v>
      </x:c>
      <x:c r="E79" t="str">
        <x:v>Sales &amp; Marketing</x:v>
      </x:c>
      <x:c r="F79" s="11" t="n">
        <x:v>-6004</x:v>
      </x:c>
      <x:c r="G79" s="11" t="n">
        <x:v>-6430.65</x:v>
      </x:c>
      <x:c r="H79" t="str">
        <x:v>finance_2026_01.csv</x:v>
      </x:c>
    </x:row>
    <x:row r="80">
      <x:c r="A80" t="str">
        <x:v>TXN-00077</x:v>
      </x:c>
      <x:c r="B80" s="10" t="n">
        <x:v>46043</x:v>
      </x:c>
      <x:c r="C80" t="str">
        <x:v>2026-01</x:v>
      </x:c>
      <x:c r="D80" t="str">
        <x:v>Cost</x:v>
      </x:c>
      <x:c r="E80" t="str">
        <x:v>Operations</x:v>
      </x:c>
      <x:c r="F80" s="11" t="n">
        <x:v>-14398</x:v>
      </x:c>
      <x:c r="G80" s="11" t="n">
        <x:v>-13645.04</x:v>
      </x:c>
      <x:c r="H80" t="str">
        <x:v>finance_2026_01.csv</x:v>
      </x:c>
    </x:row>
    <x:row r="81">
      <x:c r="A81" t="str">
        <x:v>TXN-00078</x:v>
      </x:c>
      <x:c r="B81" s="10" t="n">
        <x:v>46048</x:v>
      </x:c>
      <x:c r="C81" t="str">
        <x:v>2026-01</x:v>
      </x:c>
      <x:c r="D81" t="str">
        <x:v>Cost</x:v>
      </x:c>
      <x:c r="E81" t="str">
        <x:v>Sales &amp; Marketing</x:v>
      </x:c>
      <x:c r="F81" s="11" t="n">
        <x:v>-6209</x:v>
      </x:c>
      <x:c r="G81" s="11" t="n">
        <x:v>-5779.4</x:v>
      </x:c>
      <x:c r="H81" t="str">
        <x:v>finance_2026_01.csv</x:v>
      </x:c>
    </x:row>
    <x:row r="82">
      <x:c r="A82" t="str">
        <x:v>TXN-00079</x:v>
      </x:c>
      <x:c r="B82" s="10" t="n">
        <x:v>46043</x:v>
      </x:c>
      <x:c r="C82" t="str">
        <x:v>2026-01</x:v>
      </x:c>
      <x:c r="D82" t="str">
        <x:v>Cost</x:v>
      </x:c>
      <x:c r="E82" t="str">
        <x:v>General &amp; Admin</x:v>
      </x:c>
      <x:c r="F82" s="11" t="n">
        <x:v>-9992</x:v>
      </x:c>
      <x:c r="G82" s="11" t="n">
        <x:v>-9305.46</x:v>
      </x:c>
      <x:c r="H82" t="str">
        <x:v>finance_2026_01.csv</x:v>
      </x:c>
    </x:row>
    <x:row r="83">
      <x:c r="A83" t="str">
        <x:v>TXN-00080</x:v>
      </x:c>
      <x:c r="B83" s="10" t="n">
        <x:v>46033</x:v>
      </x:c>
      <x:c r="C83" t="str">
        <x:v>2026-01</x:v>
      </x:c>
      <x:c r="D83" t="str">
        <x:v>Cost</x:v>
      </x:c>
      <x:c r="E83" t="str">
        <x:v>Operations</x:v>
      </x:c>
      <x:c r="F83" s="11" t="n">
        <x:v>-8592</x:v>
      </x:c>
      <x:c r="G83" s="11" t="n">
        <x:v>-7949.73</x:v>
      </x:c>
      <x:c r="H83" t="str">
        <x:v>finance_2026_01.csv</x:v>
      </x:c>
    </x:row>
    <x:row r="84">
      <x:c r="A84" t="str">
        <x:v>TXN-00081</x:v>
      </x:c>
      <x:c r="B84" s="10" t="n">
        <x:v>46042</x:v>
      </x:c>
      <x:c r="C84" t="str">
        <x:v>2026-01</x:v>
      </x:c>
      <x:c r="D84" t="str">
        <x:v>Cost</x:v>
      </x:c>
      <x:c r="E84" t="str">
        <x:v>General &amp; Admin</x:v>
      </x:c>
      <x:c r="F84" s="11" t="n">
        <x:v>-6063</x:v>
      </x:c>
      <x:c r="G84" s="11" t="n">
        <x:v>-6488.02</x:v>
      </x:c>
      <x:c r="H84" t="str">
        <x:v>finance_2026_01.csv</x:v>
      </x:c>
    </x:row>
    <x:row r="85">
      <x:c r="A85" t="str">
        <x:v>TXN-00082</x:v>
      </x:c>
      <x:c r="B85" s="10" t="n">
        <x:v>46049</x:v>
      </x:c>
      <x:c r="C85" t="str">
        <x:v>2026-01</x:v>
      </x:c>
      <x:c r="D85" t="str">
        <x:v>Cost</x:v>
      </x:c>
      <x:c r="E85" t="str">
        <x:v>Operations</x:v>
      </x:c>
      <x:c r="F85" s="11" t="n">
        <x:v>-4080</x:v>
      </x:c>
      <x:c r="G85" s="11" t="n">
        <x:v>-3830.22</x:v>
      </x:c>
      <x:c r="H85" t="str">
        <x:v>finance_2026_01.csv</x:v>
      </x:c>
    </x:row>
    <x:row r="86">
      <x:c r="A86" t="str">
        <x:v>TXN-00083</x:v>
      </x:c>
      <x:c r="B86" s="10" t="n">
        <x:v>46043</x:v>
      </x:c>
      <x:c r="C86" t="str">
        <x:v>2026-01</x:v>
      </x:c>
      <x:c r="D86" t="str">
        <x:v>Cost</x:v>
      </x:c>
      <x:c r="E86" t="str">
        <x:v>Technology</x:v>
      </x:c>
      <x:c r="F86" s="11" t="n">
        <x:v>-8491</x:v>
      </x:c>
      <x:c r="G86" s="11" t="n">
        <x:v>-8486.12</x:v>
      </x:c>
      <x:c r="H86" t="str">
        <x:v>finance_2026_01.csv</x:v>
      </x:c>
    </x:row>
    <x:row r="87">
      <x:c r="A87" t="str">
        <x:v>TXN-00084</x:v>
      </x:c>
      <x:c r="B87" s="10" t="n">
        <x:v>46035</x:v>
      </x:c>
      <x:c r="C87" t="str">
        <x:v>2026-01</x:v>
      </x:c>
      <x:c r="D87" t="str">
        <x:v>Cost</x:v>
      </x:c>
      <x:c r="E87" t="str">
        <x:v>General &amp; Admin</x:v>
      </x:c>
      <x:c r="F87" s="11" t="n">
        <x:v>-11848</x:v>
      </x:c>
      <x:c r="G87" s="11" t="n">
        <x:v>-11194.04</x:v>
      </x:c>
      <x:c r="H87" t="str">
        <x:v>finance_2026_01.csv</x:v>
      </x:c>
    </x:row>
    <x:row r="88">
      <x:c r="A88" t="str">
        <x:v>TXN-00085</x:v>
      </x:c>
      <x:c r="B88" s="10" t="n">
        <x:v>46050</x:v>
      </x:c>
      <x:c r="C88" t="str">
        <x:v>2026-01</x:v>
      </x:c>
      <x:c r="D88" t="str">
        <x:v>Cost</x:v>
      </x:c>
      <x:c r="E88" t="str">
        <x:v>Sales &amp; Marketing</x:v>
      </x:c>
      <x:c r="F88" s="11" t="n">
        <x:v>-9071</x:v>
      </x:c>
      <x:c r="G88" s="11" t="n">
        <x:v>-9689.15</x:v>
      </x:c>
      <x:c r="H88" t="str">
        <x:v>finance_2026_01.csv</x:v>
      </x:c>
    </x:row>
    <x:row r="89">
      <x:c r="A89" t="str">
        <x:v>TXN-00086</x:v>
      </x:c>
      <x:c r="B89" s="10" t="n">
        <x:v>46046</x:v>
      </x:c>
      <x:c r="C89" t="str">
        <x:v>2026-01</x:v>
      </x:c>
      <x:c r="D89" t="str">
        <x:v>Cost</x:v>
      </x:c>
      <x:c r="E89" t="str">
        <x:v>General &amp; Admin</x:v>
      </x:c>
      <x:c r="F89" s="11" t="n">
        <x:v>-2794</x:v>
      </x:c>
      <x:c r="G89" s="11" t="n">
        <x:v>-2943.27</x:v>
      </x:c>
      <x:c r="H89" t="str">
        <x:v>finance_2026_01.csv</x:v>
      </x:c>
    </x:row>
    <x:row r="90">
      <x:c r="A90" t="str">
        <x:v>TXN-00087</x:v>
      </x:c>
      <x:c r="B90" s="10" t="n">
        <x:v>46042</x:v>
      </x:c>
      <x:c r="C90" t="str">
        <x:v>2026-01</x:v>
      </x:c>
      <x:c r="D90" t="str">
        <x:v>Cost</x:v>
      </x:c>
      <x:c r="E90" t="str">
        <x:v>Technology</x:v>
      </x:c>
      <x:c r="F90" s="11" t="n">
        <x:v>-8300</x:v>
      </x:c>
      <x:c r="G90" s="11" t="n">
        <x:v>-8259.6</x:v>
      </x:c>
      <x:c r="H90" t="str">
        <x:v>finance_2026_01.csv</x:v>
      </x:c>
    </x:row>
    <x:row r="91">
      <x:c r="A91" t="str">
        <x:v>TXN-00088</x:v>
      </x:c>
      <x:c r="B91" s="10" t="n">
        <x:v>46028</x:v>
      </x:c>
      <x:c r="C91" t="str">
        <x:v>2026-01</x:v>
      </x:c>
      <x:c r="D91" t="str">
        <x:v>Cost</x:v>
      </x:c>
      <x:c r="E91" t="str">
        <x:v>Sales &amp; Marketing</x:v>
      </x:c>
      <x:c r="F91" s="11" t="n">
        <x:v>-8171</x:v>
      </x:c>
      <x:c r="G91" s="11" t="n">
        <x:v>-8773.62</x:v>
      </x:c>
      <x:c r="H91" t="str">
        <x:v>finance_2026_01.csv</x:v>
      </x:c>
    </x:row>
    <x:row r="92">
      <x:c r="A92" t="str">
        <x:v>TXN-00089</x:v>
      </x:c>
      <x:c r="B92" s="10" t="n">
        <x:v>46048</x:v>
      </x:c>
      <x:c r="C92" t="str">
        <x:v>2026-01</x:v>
      </x:c>
      <x:c r="D92" t="str">
        <x:v>Cost</x:v>
      </x:c>
      <x:c r="E92" t="str">
        <x:v>Sales &amp; Marketing</x:v>
      </x:c>
      <x:c r="F92" s="11" t="n">
        <x:v>-5652</x:v>
      </x:c>
      <x:c r="G92" s="11" t="n">
        <x:v>-5959.1</x:v>
      </x:c>
      <x:c r="H92" t="str">
        <x:v>finance_2026_01.csv</x:v>
      </x:c>
    </x:row>
    <x:row r="93">
      <x:c r="A93" t="str">
        <x:v>TXN-00090</x:v>
      </x:c>
      <x:c r="B93" s="10" t="n">
        <x:v>46026</x:v>
      </x:c>
      <x:c r="C93" t="str">
        <x:v>2026-01</x:v>
      </x:c>
      <x:c r="D93" t="str">
        <x:v>Cost</x:v>
      </x:c>
      <x:c r="E93" t="str">
        <x:v>Operations</x:v>
      </x:c>
      <x:c r="F93" s="11" t="n">
        <x:v>-11965</x:v>
      </x:c>
      <x:c r="G93" s="11" t="n">
        <x:v>-11617.64</x:v>
      </x:c>
      <x:c r="H93" t="str">
        <x:v>finance_2026_01.csv</x:v>
      </x:c>
    </x:row>
    <x:row r="94">
      <x:c r="A94" t="str">
        <x:v>TXN-00091</x:v>
      </x:c>
      <x:c r="B94" s="10" t="n">
        <x:v>46033</x:v>
      </x:c>
      <x:c r="C94" t="str">
        <x:v>2026-01</x:v>
      </x:c>
      <x:c r="D94" t="str">
        <x:v>Cost</x:v>
      </x:c>
      <x:c r="E94" t="str">
        <x:v>Operations</x:v>
      </x:c>
      <x:c r="F94" s="11" t="n">
        <x:v>-3999</x:v>
      </x:c>
      <x:c r="G94" s="11" t="n">
        <x:v>-4036.15</x:v>
      </x:c>
      <x:c r="H94" t="str">
        <x:v>finance_2026_01.csv</x:v>
      </x:c>
    </x:row>
    <x:row r="95">
      <x:c r="A95" t="str">
        <x:v>TXN-00092</x:v>
      </x:c>
      <x:c r="B95" s="10" t="n">
        <x:v>46042</x:v>
      </x:c>
      <x:c r="C95" t="str">
        <x:v>2026-01</x:v>
      </x:c>
      <x:c r="D95" t="str">
        <x:v>Cost</x:v>
      </x:c>
      <x:c r="E95" t="str">
        <x:v>General &amp; Admin</x:v>
      </x:c>
      <x:c r="F95" s="11" t="n">
        <x:v>-7411</x:v>
      </x:c>
      <x:c r="G95" s="11" t="n">
        <x:v>-7100.27</x:v>
      </x:c>
      <x:c r="H95" t="str">
        <x:v>finance_2026_01.csv</x:v>
      </x:c>
    </x:row>
    <x:row r="96">
      <x:c r="A96" t="str">
        <x:v>TXN-00093</x:v>
      </x:c>
      <x:c r="B96" s="10" t="n">
        <x:v>46038</x:v>
      </x:c>
      <x:c r="C96" t="str">
        <x:v>2026-01</x:v>
      </x:c>
      <x:c r="D96" t="str">
        <x:v>Cost</x:v>
      </x:c>
      <x:c r="E96" t="str">
        <x:v>General &amp; Admin</x:v>
      </x:c>
      <x:c r="F96" s="11" t="n">
        <x:v>-13805</x:v>
      </x:c>
      <x:c r="G96" s="11" t="n">
        <x:v>-13838.43</x:v>
      </x:c>
      <x:c r="H96" t="str">
        <x:v>finance_2026_01.csv</x:v>
      </x:c>
    </x:row>
    <x:row r="97">
      <x:c r="A97" t="str">
        <x:v>TXN-00094</x:v>
      </x:c>
      <x:c r="B97" s="10" t="n">
        <x:v>46032</x:v>
      </x:c>
      <x:c r="C97" t="str">
        <x:v>2026-01</x:v>
      </x:c>
      <x:c r="D97" t="str">
        <x:v>Cost</x:v>
      </x:c>
      <x:c r="E97" t="str">
        <x:v>Sales &amp; Marketing</x:v>
      </x:c>
      <x:c r="F97" s="11" t="n">
        <x:v>-9049</x:v>
      </x:c>
      <x:c r="G97" s="11" t="n">
        <x:v>-8652.26</x:v>
      </x:c>
      <x:c r="H97" t="str">
        <x:v>finance_2026_01.csv</x:v>
      </x:c>
    </x:row>
    <x:row r="98">
      <x:c r="A98" t="str">
        <x:v>TXN-00095</x:v>
      </x:c>
      <x:c r="B98" s="10" t="n">
        <x:v>46032</x:v>
      </x:c>
      <x:c r="C98" t="str">
        <x:v>2026-01</x:v>
      </x:c>
      <x:c r="D98" t="str">
        <x:v>Cost</x:v>
      </x:c>
      <x:c r="E98" t="str">
        <x:v>Sales &amp; Marketing</x:v>
      </x:c>
      <x:c r="F98" s="11" t="n">
        <x:v>-12946</x:v>
      </x:c>
      <x:c r="G98" s="11" t="n">
        <x:v>-13620.41</x:v>
      </x:c>
      <x:c r="H98" t="str">
        <x:v>finance_2026_01.csv</x:v>
      </x:c>
    </x:row>
    <x:row r="99">
      <x:c r="A99" t="str">
        <x:v>TXN-00096</x:v>
      </x:c>
      <x:c r="B99" s="10" t="n">
        <x:v>46023</x:v>
      </x:c>
      <x:c r="C99" t="str">
        <x:v>2026-01</x:v>
      </x:c>
      <x:c r="D99" t="str">
        <x:v>Cost</x:v>
      </x:c>
      <x:c r="E99" t="str">
        <x:v>Sales &amp; Marketing</x:v>
      </x:c>
      <x:c r="F99" s="11" t="n">
        <x:v>-14601</x:v>
      </x:c>
      <x:c r="G99" s="11" t="n">
        <x:v>-14021.82</x:v>
      </x:c>
      <x:c r="H99" t="str">
        <x:v>finance_2026_01.csv</x:v>
      </x:c>
    </x:row>
    <x:row r="100">
      <x:c r="A100" t="str">
        <x:v>TXN-00097</x:v>
      </x:c>
      <x:c r="B100" s="10" t="n">
        <x:v>46036</x:v>
      </x:c>
      <x:c r="C100" t="str">
        <x:v>2026-01</x:v>
      </x:c>
      <x:c r="D100" t="str">
        <x:v>Cost</x:v>
      </x:c>
      <x:c r="E100" t="str">
        <x:v>Sales &amp; Marketing</x:v>
      </x:c>
      <x:c r="F100" s="11" t="n">
        <x:v>-3592</x:v>
      </x:c>
      <x:c r="G100" s="11" t="n">
        <x:v>-3378.06</x:v>
      </x:c>
      <x:c r="H100" t="str">
        <x:v>finance_2026_01.csv</x:v>
      </x:c>
    </x:row>
    <x:row r="101">
      <x:c r="A101" t="str">
        <x:v>TXN-00098</x:v>
      </x:c>
      <x:c r="B101" s="10" t="n">
        <x:v>46035</x:v>
      </x:c>
      <x:c r="C101" t="str">
        <x:v>2026-01</x:v>
      </x:c>
      <x:c r="D101" t="str">
        <x:v>Cost</x:v>
      </x:c>
      <x:c r="E101" t="str">
        <x:v>Sales &amp; Marketing</x:v>
      </x:c>
      <x:c r="F101" s="11" t="n">
        <x:v>-12876</x:v>
      </x:c>
      <x:c r="G101" s="11" t="n">
        <x:v>-11928.24</x:v>
      </x:c>
      <x:c r="H101" t="str">
        <x:v>finance_2026_01.csv</x:v>
      </x:c>
    </x:row>
    <x:row r="102">
      <x:c r="A102" t="str">
        <x:v>TXN-00099</x:v>
      </x:c>
      <x:c r="B102" s="10" t="n">
        <x:v>46032</x:v>
      </x:c>
      <x:c r="C102" t="str">
        <x:v>2026-01</x:v>
      </x:c>
      <x:c r="D102" t="str">
        <x:v>Cost</x:v>
      </x:c>
      <x:c r="E102" t="str">
        <x:v>Technology</x:v>
      </x:c>
      <x:c r="F102" s="11" t="n">
        <x:v>-7090</x:v>
      </x:c>
      <x:c r="G102" s="11" t="n">
        <x:v>-6661.18</x:v>
      </x:c>
      <x:c r="H102" t="str">
        <x:v>finance_2026_01.csv</x:v>
      </x:c>
    </x:row>
    <x:row r="103">
      <x:c r="A103" t="str">
        <x:v>TXN-00100</x:v>
      </x:c>
      <x:c r="B103" s="10" t="n">
        <x:v>46043</x:v>
      </x:c>
      <x:c r="C103" t="str">
        <x:v>2026-01</x:v>
      </x:c>
      <x:c r="D103" t="str">
        <x:v>Cost</x:v>
      </x:c>
      <x:c r="E103" t="str">
        <x:v>Sales &amp; Marketing</x:v>
      </x:c>
      <x:c r="F103" s="11" t="n">
        <x:v>-3357</x:v>
      </x:c>
      <x:c r="G103" s="11" t="n">
        <x:v>-3580.76</x:v>
      </x:c>
      <x:c r="H103" t="str">
        <x:v>finance_2026_01.csv</x:v>
      </x:c>
    </x:row>
    <x:row r="104">
      <x:c r="A104" t="str">
        <x:v>TXN-00101</x:v>
      </x:c>
      <x:c r="B104" s="10" t="n">
        <x:v>46045</x:v>
      </x:c>
      <x:c r="C104" t="str">
        <x:v>2026-01</x:v>
      </x:c>
      <x:c r="D104" t="str">
        <x:v>Cost</x:v>
      </x:c>
      <x:c r="E104" t="str">
        <x:v>Technology</x:v>
      </x:c>
      <x:c r="F104" s="11" t="n">
        <x:v>-3602</x:v>
      </x:c>
      <x:c r="G104" s="11" t="n">
        <x:v>-3869.9</x:v>
      </x:c>
      <x:c r="H104" t="str">
        <x:v>finance_2026_01.csv</x:v>
      </x:c>
    </x:row>
    <x:row r="105">
      <x:c r="A105" t="str">
        <x:v>TXN-00102</x:v>
      </x:c>
      <x:c r="B105" s="10" t="n">
        <x:v>46026</x:v>
      </x:c>
      <x:c r="C105" t="str">
        <x:v>2026-01</x:v>
      </x:c>
      <x:c r="D105" t="str">
        <x:v>Cost</x:v>
      </x:c>
      <x:c r="E105" t="str">
        <x:v>Sales &amp; Marketing</x:v>
      </x:c>
      <x:c r="F105" s="11" t="n">
        <x:v>-12595</x:v>
      </x:c>
      <x:c r="G105" s="11" t="n">
        <x:v>-12760.11</x:v>
      </x:c>
      <x:c r="H105" t="str">
        <x:v>finance_2026_01.csv</x:v>
      </x:c>
    </x:row>
    <x:row r="106">
      <x:c r="A106" t="str">
        <x:v>TXN-00103</x:v>
      </x:c>
      <x:c r="B106" s="10" t="n">
        <x:v>46048</x:v>
      </x:c>
      <x:c r="C106" t="str">
        <x:v>2026-01</x:v>
      </x:c>
      <x:c r="D106" t="str">
        <x:v>Cost</x:v>
      </x:c>
      <x:c r="E106" t="str">
        <x:v>Technology</x:v>
      </x:c>
      <x:c r="F106" s="11" t="n">
        <x:v>-9451</x:v>
      </x:c>
      <x:c r="G106" s="11" t="n">
        <x:v>-9348.28</x:v>
      </x:c>
      <x:c r="H106" t="str">
        <x:v>finance_2026_01.csv</x:v>
      </x:c>
    </x:row>
    <x:row r="107">
      <x:c r="A107" t="str">
        <x:v>TXN-00104</x:v>
      </x:c>
      <x:c r="B107" s="10" t="n">
        <x:v>46048</x:v>
      </x:c>
      <x:c r="C107" t="str">
        <x:v>2026-01</x:v>
      </x:c>
      <x:c r="D107" t="str">
        <x:v>Cost</x:v>
      </x:c>
      <x:c r="E107" t="str">
        <x:v>Sales &amp; Marketing</x:v>
      </x:c>
      <x:c r="F107" s="11" t="n">
        <x:v>-5458</x:v>
      </x:c>
      <x:c r="G107" s="11" t="n">
        <x:v>-5312.42</x:v>
      </x:c>
      <x:c r="H107" t="str">
        <x:v>finance_2026_01.csv</x:v>
      </x:c>
    </x:row>
    <x:row r="108">
      <x:c r="A108" t="str">
        <x:v>TXN-00105</x:v>
      </x:c>
      <x:c r="B108" s="10" t="n">
        <x:v>46041</x:v>
      </x:c>
      <x:c r="C108" t="str">
        <x:v>2026-01</x:v>
      </x:c>
      <x:c r="D108" t="str">
        <x:v>Cost</x:v>
      </x:c>
      <x:c r="E108" t="str">
        <x:v>Operations</x:v>
      </x:c>
      <x:c r="F108" s="11" t="n">
        <x:v>-3612</x:v>
      </x:c>
      <x:c r="G108" s="11" t="n">
        <x:v>-3666.08</x:v>
      </x:c>
      <x:c r="H108" t="str">
        <x:v>finance_2026_01.csv</x:v>
      </x:c>
    </x:row>
    <x:row r="109">
      <x:c r="A109" t="str">
        <x:v>TXN-00106</x:v>
      </x:c>
      <x:c r="B109" s="10" t="n">
        <x:v>46047</x:v>
      </x:c>
      <x:c r="C109" t="str">
        <x:v>2026-01</x:v>
      </x:c>
      <x:c r="D109" t="str">
        <x:v>Cash Flow</x:v>
      </x:c>
      <x:c r="E109" t="str">
        <x:v>Operations</x:v>
      </x:c>
      <x:c r="F109" s="11" t="n">
        <x:v>-3501</x:v>
      </x:c>
      <x:c r="G109" s="11" t="n">
        <x:v>-3169.79</x:v>
      </x:c>
      <x:c r="H109" t="str">
        <x:v>finance_2026_01.csv</x:v>
      </x:c>
    </x:row>
    <x:row r="110">
      <x:c r="A110" t="str">
        <x:v>TXN-00107</x:v>
      </x:c>
      <x:c r="B110" s="10" t="n">
        <x:v>46046</x:v>
      </x:c>
      <x:c r="C110" t="str">
        <x:v>2026-01</x:v>
      </x:c>
      <x:c r="D110" t="str">
        <x:v>Cash Flow</x:v>
      </x:c>
      <x:c r="E110" t="str">
        <x:v>Technology</x:v>
      </x:c>
      <x:c r="F110" s="11" t="n">
        <x:v>11165</x:v>
      </x:c>
      <x:c r="G110" s="11" t="n">
        <x:v>10017.24</x:v>
      </x:c>
      <x:c r="H110" t="str">
        <x:v>finance_2026_01.csv</x:v>
      </x:c>
    </x:row>
    <x:row r="111">
      <x:c r="A111" t="str">
        <x:v>TXN-00108</x:v>
      </x:c>
      <x:c r="B111" s="10" t="n">
        <x:v>46023</x:v>
      </x:c>
      <x:c r="C111" t="str">
        <x:v>2026-01</x:v>
      </x:c>
      <x:c r="D111" t="str">
        <x:v>Cash Flow</x:v>
      </x:c>
      <x:c r="E111" t="str">
        <x:v>Technology</x:v>
      </x:c>
      <x:c r="F111" s="11" t="n">
        <x:v>6541</x:v>
      </x:c>
      <x:c r="G111" s="11" t="n">
        <x:v>6605.97</x:v>
      </x:c>
      <x:c r="H111" t="str">
        <x:v>finance_2026_01.csv</x:v>
      </x:c>
    </x:row>
    <x:row r="112">
      <x:c r="A112" t="str">
        <x:v>TXN-00109</x:v>
      </x:c>
      <x:c r="B112" s="10" t="n">
        <x:v>46031</x:v>
      </x:c>
      <x:c r="C112" t="str">
        <x:v>2026-01</x:v>
      </x:c>
      <x:c r="D112" t="str">
        <x:v>Cash Flow</x:v>
      </x:c>
      <x:c r="E112" t="str">
        <x:v>People</x:v>
      </x:c>
      <x:c r="F112" s="11" t="n">
        <x:v>10818</x:v>
      </x:c>
      <x:c r="G112" s="11" t="n">
        <x:v>10691.73</x:v>
      </x:c>
      <x:c r="H112" t="str">
        <x:v>finance_2026_01.csv</x:v>
      </x:c>
    </x:row>
    <x:row r="113">
      <x:c r="A113" t="str">
        <x:v>TXN-00110</x:v>
      </x:c>
      <x:c r="B113" s="10" t="n">
        <x:v>46027</x:v>
      </x:c>
      <x:c r="C113" t="str">
        <x:v>2026-01</x:v>
      </x:c>
      <x:c r="D113" t="str">
        <x:v>Cash Flow</x:v>
      </x:c>
      <x:c r="E113" t="str">
        <x:v>Operations</x:v>
      </x:c>
      <x:c r="F113" s="11" t="n">
        <x:v>10336</x:v>
      </x:c>
      <x:c r="G113" s="11" t="n">
        <x:v>9632.16</x:v>
      </x:c>
      <x:c r="H113" t="str">
        <x:v>finance_2026_01.csv</x:v>
      </x:c>
    </x:row>
    <x:row r="114">
      <x:c r="A114" t="str">
        <x:v>TXN-00111</x:v>
      </x:c>
      <x:c r="B114" s="10" t="n">
        <x:v>46043</x:v>
      </x:c>
      <x:c r="C114" t="str">
        <x:v>2026-01</x:v>
      </x:c>
      <x:c r="D114" t="str">
        <x:v>Cash Flow</x:v>
      </x:c>
      <x:c r="E114" t="str">
        <x:v>Technology</x:v>
      </x:c>
      <x:c r="F114" s="11" t="n">
        <x:v>2870</x:v>
      </x:c>
      <x:c r="G114" s="11" t="n">
        <x:v>2785.9</x:v>
      </x:c>
      <x:c r="H114" t="str">
        <x:v>finance_2026_01.csv</x:v>
      </x:c>
    </x:row>
    <x:row r="115">
      <x:c r="A115" t="str">
        <x:v>TXN-00112</x:v>
      </x:c>
      <x:c r="B115" s="10" t="n">
        <x:v>46036</x:v>
      </x:c>
      <x:c r="C115" t="str">
        <x:v>2026-01</x:v>
      </x:c>
      <x:c r="D115" t="str">
        <x:v>Cash Flow</x:v>
      </x:c>
      <x:c r="E115" t="str">
        <x:v>Operations</x:v>
      </x:c>
      <x:c r="F115" s="11" t="n">
        <x:v>1339</x:v>
      </x:c>
      <x:c r="G115" s="11" t="n">
        <x:v>1371.6</x:v>
      </x:c>
      <x:c r="H115" t="str">
        <x:v>finance_2026_01.csv</x:v>
      </x:c>
    </x:row>
    <x:row r="116">
      <x:c r="A116" t="str">
        <x:v>TXN-00113</x:v>
      </x:c>
      <x:c r="B116" s="10" t="n">
        <x:v>46048</x:v>
      </x:c>
      <x:c r="C116" t="str">
        <x:v>2026-01</x:v>
      </x:c>
      <x:c r="D116" t="str">
        <x:v>Cash Flow</x:v>
      </x:c>
      <x:c r="E116" t="str">
        <x:v>General &amp; Admin</x:v>
      </x:c>
      <x:c r="F116" s="11" t="n">
        <x:v>-4080</x:v>
      </x:c>
      <x:c r="G116" s="11" t="n">
        <x:v>-4027.78</x:v>
      </x:c>
      <x:c r="H116" t="str">
        <x:v>finance_2026_01.csv</x:v>
      </x:c>
    </x:row>
    <x:row r="117">
      <x:c r="A117" t="str">
        <x:v>TXN-00114</x:v>
      </x:c>
      <x:c r="B117" s="10" t="n">
        <x:v>46050</x:v>
      </x:c>
      <x:c r="C117" t="str">
        <x:v>2026-01</x:v>
      </x:c>
      <x:c r="D117" t="str">
        <x:v>Cash Flow</x:v>
      </x:c>
      <x:c r="E117" t="str">
        <x:v>Sales &amp; Marketing</x:v>
      </x:c>
      <x:c r="F117" s="11" t="n">
        <x:v>8545</x:v>
      </x:c>
      <x:c r="G117" s="11" t="n">
        <x:v>8609.16</x:v>
      </x:c>
      <x:c r="H117" t="str">
        <x:v>finance_2026_01.csv</x:v>
      </x:c>
    </x:row>
    <x:row r="118">
      <x:c r="A118" t="str">
        <x:v>TXN-00115</x:v>
      </x:c>
      <x:c r="B118" s="10" t="n">
        <x:v>46044</x:v>
      </x:c>
      <x:c r="C118" t="str">
        <x:v>2026-01</x:v>
      </x:c>
      <x:c r="D118" t="str">
        <x:v>Cash Flow</x:v>
      </x:c>
      <x:c r="E118" t="str">
        <x:v>Technology</x:v>
      </x:c>
      <x:c r="F118" s="11" t="n">
        <x:v>-4294</x:v>
      </x:c>
      <x:c r="G118" s="11" t="n">
        <x:v>-4096.41</x:v>
      </x:c>
      <x:c r="H118" t="str">
        <x:v>finance_2026_01.csv</x:v>
      </x:c>
    </x:row>
    <x:row r="119">
      <x:c r="A119" t="str">
        <x:v>TXN-00116</x:v>
      </x:c>
      <x:c r="B119" s="10" t="n">
        <x:v>46033</x:v>
      </x:c>
      <x:c r="C119" t="str">
        <x:v>2026-01</x:v>
      </x:c>
      <x:c r="D119" t="str">
        <x:v>Cash Flow</x:v>
      </x:c>
      <x:c r="E119" t="str">
        <x:v>Operations</x:v>
      </x:c>
      <x:c r="F119" s="11" t="n">
        <x:v>-3937</x:v>
      </x:c>
      <x:c r="G119" s="11" t="n">
        <x:v>-4137.83</x:v>
      </x:c>
      <x:c r="H119" t="str">
        <x:v>finance_2026_01.csv</x:v>
      </x:c>
    </x:row>
    <x:row r="120">
      <x:c r="A120" t="str">
        <x:v>TXN-00117</x:v>
      </x:c>
      <x:c r="B120" s="10" t="n">
        <x:v>46041</x:v>
      </x:c>
      <x:c r="C120" t="str">
        <x:v>2026-01</x:v>
      </x:c>
      <x:c r="D120" t="str">
        <x:v>Cash Flow</x:v>
      </x:c>
      <x:c r="E120" t="str">
        <x:v>General &amp; Admin</x:v>
      </x:c>
      <x:c r="F120" s="11" t="n">
        <x:v>-6042</x:v>
      </x:c>
      <x:c r="G120" s="11" t="n">
        <x:v>-6627.44</x:v>
      </x:c>
      <x:c r="H120" t="str">
        <x:v>finance_2026_01.csv</x:v>
      </x:c>
    </x:row>
    <x:row r="121">
      <x:c r="A121" t="str">
        <x:v>TXN-00118</x:v>
      </x:c>
      <x:c r="B121" s="10" t="n">
        <x:v>46046</x:v>
      </x:c>
      <x:c r="C121" t="str">
        <x:v>2026-01</x:v>
      </x:c>
      <x:c r="D121" t="str">
        <x:v>Cash Flow</x:v>
      </x:c>
      <x:c r="E121" t="str">
        <x:v>Sales &amp; Marketing</x:v>
      </x:c>
      <x:c r="F121" s="11" t="n">
        <x:v>6569</x:v>
      </x:c>
      <x:c r="G121" s="11" t="n">
        <x:v>6583.36</x:v>
      </x:c>
      <x:c r="H121" t="str">
        <x:v>finance_2026_01.csv</x:v>
      </x:c>
    </x:row>
    <x:row r="122">
      <x:c r="A122" t="str">
        <x:v>TXN-00119</x:v>
      </x:c>
      <x:c r="B122" s="10" t="n">
        <x:v>46050</x:v>
      </x:c>
      <x:c r="C122" t="str">
        <x:v>2026-01</x:v>
      </x:c>
      <x:c r="D122" t="str">
        <x:v>Cash Flow</x:v>
      </x:c>
      <x:c r="E122" t="str">
        <x:v>Sales &amp; Marketing</x:v>
      </x:c>
      <x:c r="F122" s="11" t="n">
        <x:v>7884</x:v>
      </x:c>
      <x:c r="G122" s="11" t="n">
        <x:v>8366.8</x:v>
      </x:c>
      <x:c r="H122" t="str">
        <x:v>finance_2026_01.csv</x:v>
      </x:c>
    </x:row>
    <x:row r="123">
      <x:c r="A123" t="str">
        <x:v>TXN-00120</x:v>
      </x:c>
      <x:c r="B123" s="10" t="n">
        <x:v>46035</x:v>
      </x:c>
      <x:c r="C123" t="str">
        <x:v>2026-01</x:v>
      </x:c>
      <x:c r="D123" t="str">
        <x:v>Cash Flow</x:v>
      </x:c>
      <x:c r="E123" t="str">
        <x:v>Technology</x:v>
      </x:c>
      <x:c r="F123" s="11" t="n">
        <x:v>3176</x:v>
      </x:c>
      <x:c r="G123" s="11" t="n">
        <x:v>3214.8</x:v>
      </x:c>
      <x:c r="H123" t="str">
        <x:v>finance_2026_01.csv</x:v>
      </x:c>
    </x:row>
    <x:row r="124">
      <x:c r="A124" t="str">
        <x:v>TXN-00121</x:v>
      </x:c>
      <x:c r="B124" s="10" t="n">
        <x:v>46063</x:v>
      </x:c>
      <x:c r="C124" t="str">
        <x:v>2026-02</x:v>
      </x:c>
      <x:c r="D124" t="str">
        <x:v>Revenue</x:v>
      </x:c>
      <x:c r="E124" t="str">
        <x:v>Operations</x:v>
      </x:c>
      <x:c r="F124" s="11" t="n">
        <x:v>11065</x:v>
      </x:c>
      <x:c r="G124" s="11" t="n">
        <x:v>10212.03</x:v>
      </x:c>
      <x:c r="H124" t="str">
        <x:v>finance_2026_02.csv</x:v>
      </x:c>
    </x:row>
    <x:row r="125">
      <x:c r="A125" t="str">
        <x:v>TXN-00122</x:v>
      </x:c>
      <x:c r="B125" s="10" t="n">
        <x:v>46072</x:v>
      </x:c>
      <x:c r="C125" t="str">
        <x:v>2026-02</x:v>
      </x:c>
      <x:c r="D125" t="str">
        <x:v>Revenue</x:v>
      </x:c>
      <x:c r="E125" t="str">
        <x:v>General &amp; Admin</x:v>
      </x:c>
      <x:c r="F125" s="11" t="n">
        <x:v>20065</x:v>
      </x:c>
      <x:c r="G125" s="11" t="n">
        <x:v>19586.74</x:v>
      </x:c>
      <x:c r="H125" t="str">
        <x:v>finance_2026_02.csv</x:v>
      </x:c>
    </x:row>
    <x:row r="126">
      <x:c r="A126" t="str">
        <x:v>TXN-00123</x:v>
      </x:c>
      <x:c r="B126" s="10" t="n">
        <x:v>46069</x:v>
      </x:c>
      <x:c r="C126" t="str">
        <x:v>2026-02</x:v>
      </x:c>
      <x:c r="D126" t="str">
        <x:v>Revenue</x:v>
      </x:c>
      <x:c r="E126" t="str">
        <x:v>Operations</x:v>
      </x:c>
      <x:c r="F126" s="11" t="n">
        <x:v>23230</x:v>
      </x:c>
      <x:c r="G126" s="11" t="n">
        <x:v>23806.97</x:v>
      </x:c>
      <x:c r="H126" t="str">
        <x:v>finance_2026_02.csv</x:v>
      </x:c>
    </x:row>
    <x:row r="127">
      <x:c r="A127" t="str">
        <x:v>TXN-00124</x:v>
      </x:c>
      <x:c r="B127" s="10" t="n">
        <x:v>46062</x:v>
      </x:c>
      <x:c r="C127" t="str">
        <x:v>2026-02</x:v>
      </x:c>
      <x:c r="D127" t="str">
        <x:v>Revenue</x:v>
      </x:c>
      <x:c r="E127" t="str">
        <x:v>Sales &amp; Marketing</x:v>
      </x:c>
      <x:c r="F127" s="11" t="n">
        <x:v>13078</x:v>
      </x:c>
      <x:c r="G127" s="11" t="n">
        <x:v>12438.22</x:v>
      </x:c>
      <x:c r="H127" t="str">
        <x:v>finance_2026_02.csv</x:v>
      </x:c>
    </x:row>
    <x:row r="128">
      <x:c r="A128" t="str">
        <x:v>TXN-00125</x:v>
      </x:c>
      <x:c r="B128" s="10" t="n">
        <x:v>46077</x:v>
      </x:c>
      <x:c r="C128" t="str">
        <x:v>2026-02</x:v>
      </x:c>
      <x:c r="D128" t="str">
        <x:v>Revenue</x:v>
      </x:c>
      <x:c r="E128" t="str">
        <x:v>Technology</x:v>
      </x:c>
      <x:c r="F128" s="11" t="n">
        <x:v>23288</x:v>
      </x:c>
      <x:c r="G128" s="11" t="n">
        <x:v>22238.5</x:v>
      </x:c>
      <x:c r="H128" t="str">
        <x:v>finance_2026_02.csv</x:v>
      </x:c>
    </x:row>
    <x:row r="129">
      <x:c r="A129" t="str">
        <x:v>TXN-00126</x:v>
      </x:c>
      <x:c r="B129" s="10" t="n">
        <x:v>46079</x:v>
      </x:c>
      <x:c r="C129" t="str">
        <x:v>2026-02</x:v>
      </x:c>
      <x:c r="D129" t="str">
        <x:v>Revenue</x:v>
      </x:c>
      <x:c r="E129" t="str">
        <x:v>Sales &amp; Marketing</x:v>
      </x:c>
      <x:c r="F129" s="11" t="n">
        <x:v>14397</x:v>
      </x:c>
      <x:c r="G129" s="11" t="n">
        <x:v>14382.1</x:v>
      </x:c>
      <x:c r="H129" t="str">
        <x:v>finance_2026_02.csv</x:v>
      </x:c>
    </x:row>
    <x:row r="130">
      <x:c r="A130" t="str">
        <x:v>TXN-00127</x:v>
      </x:c>
      <x:c r="B130" s="10" t="n">
        <x:v>46062</x:v>
      </x:c>
      <x:c r="C130" t="str">
        <x:v>2026-02</x:v>
      </x:c>
      <x:c r="D130" t="str">
        <x:v>Revenue</x:v>
      </x:c>
      <x:c r="E130" t="str">
        <x:v>Technology</x:v>
      </x:c>
      <x:c r="F130" s="11" t="n">
        <x:v>9965</x:v>
      </x:c>
      <x:c r="G130" s="11" t="n">
        <x:v>10338.24</x:v>
      </x:c>
      <x:c r="H130" t="str">
        <x:v>finance_2026_02.csv</x:v>
      </x:c>
    </x:row>
    <x:row r="131">
      <x:c r="A131" t="str">
        <x:v>TXN-00128</x:v>
      </x:c>
      <x:c r="B131" s="10" t="n">
        <x:v>46081</x:v>
      </x:c>
      <x:c r="C131" t="str">
        <x:v>2026-02</x:v>
      </x:c>
      <x:c r="D131" t="str">
        <x:v>Revenue</x:v>
      </x:c>
      <x:c r="E131" t="str">
        <x:v>People</x:v>
      </x:c>
      <x:c r="F131" s="11" t="n">
        <x:v>14469</x:v>
      </x:c>
      <x:c r="G131" s="11" t="n">
        <x:v>14326.31</x:v>
      </x:c>
      <x:c r="H131" t="str">
        <x:v>finance_2026_02.csv</x:v>
      </x:c>
    </x:row>
    <x:row r="132">
      <x:c r="A132" t="str">
        <x:v>TXN-00129</x:v>
      </x:c>
      <x:c r="B132" s="10" t="n">
        <x:v>46080</x:v>
      </x:c>
      <x:c r="C132" t="str">
        <x:v>2026-02</x:v>
      </x:c>
      <x:c r="D132" t="str">
        <x:v>Revenue</x:v>
      </x:c>
      <x:c r="E132" t="str">
        <x:v>General &amp; Admin</x:v>
      </x:c>
      <x:c r="F132" s="11" t="n">
        <x:v>16507</x:v>
      </x:c>
      <x:c r="G132" s="11" t="n">
        <x:v>16211.15</x:v>
      </x:c>
      <x:c r="H132" t="str">
        <x:v>finance_2026_02.csv</x:v>
      </x:c>
    </x:row>
    <x:row r="133">
      <x:c r="A133" t="str">
        <x:v>TXN-00130</x:v>
      </x:c>
      <x:c r="B133" s="10" t="n">
        <x:v>46073</x:v>
      </x:c>
      <x:c r="C133" t="str">
        <x:v>2026-02</x:v>
      </x:c>
      <x:c r="D133" t="str">
        <x:v>Revenue</x:v>
      </x:c>
      <x:c r="E133" t="str">
        <x:v>General &amp; Admin</x:v>
      </x:c>
      <x:c r="F133" s="11" t="n">
        <x:v>10901</x:v>
      </x:c>
      <x:c r="G133" s="11" t="n">
        <x:v>10660.94</x:v>
      </x:c>
      <x:c r="H133" t="str">
        <x:v>finance_2026_02.csv</x:v>
      </x:c>
    </x:row>
    <x:row r="134">
      <x:c r="A134" t="str">
        <x:v>TXN-00131</x:v>
      </x:c>
      <x:c r="B134" s="10" t="n">
        <x:v>46065</x:v>
      </x:c>
      <x:c r="C134" t="str">
        <x:v>2026-02</x:v>
      </x:c>
      <x:c r="D134" t="str">
        <x:v>Revenue</x:v>
      </x:c>
      <x:c r="E134" t="str">
        <x:v>People</x:v>
      </x:c>
      <x:c r="F134" s="11" t="n">
        <x:v>17716</x:v>
      </x:c>
      <x:c r="G134" s="11" t="n">
        <x:v>17424.68</x:v>
      </x:c>
      <x:c r="H134" t="str">
        <x:v>finance_2026_02.csv</x:v>
      </x:c>
    </x:row>
    <x:row r="135">
      <x:c r="A135" t="str">
        <x:v>TXN-00132</x:v>
      </x:c>
      <x:c r="B135" s="10" t="n">
        <x:v>46068</x:v>
      </x:c>
      <x:c r="C135" t="str">
        <x:v>2026-02</x:v>
      </x:c>
      <x:c r="D135" t="str">
        <x:v>Revenue</x:v>
      </x:c>
      <x:c r="E135" t="str">
        <x:v>People</x:v>
      </x:c>
      <x:c r="F135" s="11" t="n">
        <x:v>12960</x:v>
      </x:c>
      <x:c r="G135" s="11" t="n">
        <x:v>13198.07</x:v>
      </x:c>
      <x:c r="H135" t="str">
        <x:v>finance_2026_02.csv</x:v>
      </x:c>
    </x:row>
    <x:row r="136">
      <x:c r="A136" t="str">
        <x:v>TXN-00133</x:v>
      </x:c>
      <x:c r="B136" s="10" t="n">
        <x:v>46067</x:v>
      </x:c>
      <x:c r="C136" t="str">
        <x:v>2026-02</x:v>
      </x:c>
      <x:c r="D136" t="str">
        <x:v>Revenue</x:v>
      </x:c>
      <x:c r="E136" t="str">
        <x:v>General &amp; Admin</x:v>
      </x:c>
      <x:c r="F136" s="11" t="n">
        <x:v>16379</x:v>
      </x:c>
      <x:c r="G136" s="11" t="n">
        <x:v>16988.28</x:v>
      </x:c>
      <x:c r="H136" t="str">
        <x:v>finance_2026_02.csv</x:v>
      </x:c>
    </x:row>
    <x:row r="137">
      <x:c r="A137" t="str">
        <x:v>TXN-00134</x:v>
      </x:c>
      <x:c r="B137" s="10" t="n">
        <x:v>46060</x:v>
      </x:c>
      <x:c r="C137" t="str">
        <x:v>2026-02</x:v>
      </x:c>
      <x:c r="D137" t="str">
        <x:v>Revenue</x:v>
      </x:c>
      <x:c r="E137" t="str">
        <x:v>Technology</x:v>
      </x:c>
      <x:c r="F137" s="11" t="n">
        <x:v>15014</x:v>
      </x:c>
      <x:c r="G137" s="11" t="n">
        <x:v>15371.99</x:v>
      </x:c>
      <x:c r="H137" t="str">
        <x:v>finance_2026_02.csv</x:v>
      </x:c>
    </x:row>
    <x:row r="138">
      <x:c r="A138" t="str">
        <x:v>TXN-00135</x:v>
      </x:c>
      <x:c r="B138" s="10" t="n">
        <x:v>46065</x:v>
      </x:c>
      <x:c r="C138" t="str">
        <x:v>2026-02</x:v>
      </x:c>
      <x:c r="D138" t="str">
        <x:v>Revenue</x:v>
      </x:c>
      <x:c r="E138" t="str">
        <x:v>Operations</x:v>
      </x:c>
      <x:c r="F138" s="11" t="n">
        <x:v>14947</x:v>
      </x:c>
      <x:c r="G138" s="11" t="n">
        <x:v>14756.18</x:v>
      </x:c>
      <x:c r="H138" t="str">
        <x:v>finance_2026_02.csv</x:v>
      </x:c>
    </x:row>
    <x:row r="139">
      <x:c r="A139" t="str">
        <x:v>TXN-00136</x:v>
      </x:c>
      <x:c r="B139" s="10" t="n">
        <x:v>46075</x:v>
      </x:c>
      <x:c r="C139" t="str">
        <x:v>2026-02</x:v>
      </x:c>
      <x:c r="D139" t="str">
        <x:v>Revenue</x:v>
      </x:c>
      <x:c r="E139" t="str">
        <x:v>Operations</x:v>
      </x:c>
      <x:c r="F139" s="11" t="n">
        <x:v>16915</x:v>
      </x:c>
      <x:c r="G139" s="11" t="n">
        <x:v>16555.33</x:v>
      </x:c>
      <x:c r="H139" t="str">
        <x:v>finance_2026_02.csv</x:v>
      </x:c>
    </x:row>
    <x:row r="140">
      <x:c r="A140" t="str">
        <x:v>TXN-00137</x:v>
      </x:c>
      <x:c r="B140" s="10" t="n">
        <x:v>46080</x:v>
      </x:c>
      <x:c r="C140" t="str">
        <x:v>2026-02</x:v>
      </x:c>
      <x:c r="D140" t="str">
        <x:v>Revenue</x:v>
      </x:c>
      <x:c r="E140" t="str">
        <x:v>Operations</x:v>
      </x:c>
      <x:c r="F140" s="11" t="n">
        <x:v>12237</x:v>
      </x:c>
      <x:c r="G140" s="11" t="n">
        <x:v>11631.41</x:v>
      </x:c>
      <x:c r="H140" t="str">
        <x:v>finance_2026_02.csv</x:v>
      </x:c>
    </x:row>
    <x:row r="141">
      <x:c r="A141" t="str">
        <x:v>TXN-00138</x:v>
      </x:c>
      <x:c r="B141" s="10" t="n">
        <x:v>46061</x:v>
      </x:c>
      <x:c r="C141" t="str">
        <x:v>2026-02</x:v>
      </x:c>
      <x:c r="D141" t="str">
        <x:v>Revenue</x:v>
      </x:c>
      <x:c r="E141" t="str">
        <x:v>People</x:v>
      </x:c>
      <x:c r="F141" s="11" t="n">
        <x:v>18032</x:v>
      </x:c>
      <x:c r="G141" s="11" t="n">
        <x:v>16991.16</x:v>
      </x:c>
      <x:c r="H141" t="str">
        <x:v>finance_2026_02.csv</x:v>
      </x:c>
    </x:row>
    <x:row r="142">
      <x:c r="A142" t="str">
        <x:v>TXN-00139</x:v>
      </x:c>
      <x:c r="B142" s="10" t="n">
        <x:v>46064</x:v>
      </x:c>
      <x:c r="C142" t="str">
        <x:v>2026-02</x:v>
      </x:c>
      <x:c r="D142" t="str">
        <x:v>Revenue</x:v>
      </x:c>
      <x:c r="E142" t="str">
        <x:v>People</x:v>
      </x:c>
      <x:c r="F142" s="11" t="n">
        <x:v>20208</x:v>
      </x:c>
      <x:c r="G142" s="11" t="n">
        <x:v>18557.27</x:v>
      </x:c>
      <x:c r="H142" t="str">
        <x:v>finance_2026_02.csv</x:v>
      </x:c>
    </x:row>
    <x:row r="143">
      <x:c r="A143" t="str">
        <x:v>TXN-00140</x:v>
      </x:c>
      <x:c r="B143" s="10" t="n">
        <x:v>46074</x:v>
      </x:c>
      <x:c r="C143" t="str">
        <x:v>2026-02</x:v>
      </x:c>
      <x:c r="D143" t="str">
        <x:v>Revenue</x:v>
      </x:c>
      <x:c r="E143" t="str">
        <x:v>General &amp; Admin</x:v>
      </x:c>
      <x:c r="F143" s="11" t="n">
        <x:v>11433</x:v>
      </x:c>
      <x:c r="G143" s="11" t="n">
        <x:v>11207.07</x:v>
      </x:c>
      <x:c r="H143" t="str">
        <x:v>finance_2026_02.csv</x:v>
      </x:c>
    </x:row>
    <x:row r="144">
      <x:c r="A144" t="str">
        <x:v>TXN-00141</x:v>
      </x:c>
      <x:c r="B144" s="10" t="n">
        <x:v>46064</x:v>
      </x:c>
      <x:c r="C144" t="str">
        <x:v>2026-02</x:v>
      </x:c>
      <x:c r="D144" t="str">
        <x:v>Revenue</x:v>
      </x:c>
      <x:c r="E144" t="str">
        <x:v>Sales &amp; Marketing</x:v>
      </x:c>
      <x:c r="F144" s="11" t="n">
        <x:v>12974</x:v>
      </x:c>
      <x:c r="G144" s="11" t="n">
        <x:v>12511.22</x:v>
      </x:c>
      <x:c r="H144" t="str">
        <x:v>finance_2026_02.csv</x:v>
      </x:c>
    </x:row>
    <x:row r="145">
      <x:c r="A145" t="str">
        <x:v>TXN-00142</x:v>
      </x:c>
      <x:c r="B145" s="10" t="n">
        <x:v>46056</x:v>
      </x:c>
      <x:c r="C145" t="str">
        <x:v>2026-02</x:v>
      </x:c>
      <x:c r="D145" t="str">
        <x:v>Revenue</x:v>
      </x:c>
      <x:c r="E145" t="str">
        <x:v>Sales &amp; Marketing</x:v>
      </x:c>
      <x:c r="F145" s="11" t="n">
        <x:v>22905</x:v>
      </x:c>
      <x:c r="G145" s="11" t="n">
        <x:v>21260.88</x:v>
      </x:c>
      <x:c r="H145" t="str">
        <x:v>finance_2026_02.csv</x:v>
      </x:c>
    </x:row>
    <x:row r="146">
      <x:c r="A146" t="str">
        <x:v>TXN-00143</x:v>
      </x:c>
      <x:c r="B146" s="10" t="n">
        <x:v>46079</x:v>
      </x:c>
      <x:c r="C146" t="str">
        <x:v>2026-02</x:v>
      </x:c>
      <x:c r="D146" t="str">
        <x:v>Revenue</x:v>
      </x:c>
      <x:c r="E146" t="str">
        <x:v>Operations</x:v>
      </x:c>
      <x:c r="F146" s="11" t="n">
        <x:v>11620</x:v>
      </x:c>
      <x:c r="G146" s="11" t="n">
        <x:v>11131.49</x:v>
      </x:c>
      <x:c r="H146" t="str">
        <x:v>finance_2026_02.csv</x:v>
      </x:c>
    </x:row>
    <x:row r="147">
      <x:c r="A147" t="str">
        <x:v>TXN-00144</x:v>
      </x:c>
      <x:c r="B147" s="10" t="n">
        <x:v>46059</x:v>
      </x:c>
      <x:c r="C147" t="str">
        <x:v>2026-02</x:v>
      </x:c>
      <x:c r="D147" t="str">
        <x:v>Revenue</x:v>
      </x:c>
      <x:c r="E147" t="str">
        <x:v>General &amp; Admin</x:v>
      </x:c>
      <x:c r="F147" s="11" t="n">
        <x:v>16812</x:v>
      </x:c>
      <x:c r="G147" s="11" t="n">
        <x:v>16341.47</x:v>
      </x:c>
      <x:c r="H147" t="str">
        <x:v>finance_2026_02.csv</x:v>
      </x:c>
    </x:row>
    <x:row r="148">
      <x:c r="A148" t="str">
        <x:v>TXN-00145</x:v>
      </x:c>
      <x:c r="B148" s="10" t="n">
        <x:v>46066</x:v>
      </x:c>
      <x:c r="C148" t="str">
        <x:v>2026-02</x:v>
      </x:c>
      <x:c r="D148" t="str">
        <x:v>Revenue</x:v>
      </x:c>
      <x:c r="E148" t="str">
        <x:v>Sales &amp; Marketing</x:v>
      </x:c>
      <x:c r="F148" s="11" t="n">
        <x:v>13659</x:v>
      </x:c>
      <x:c r="G148" s="11" t="n">
        <x:v>13075</x:v>
      </x:c>
      <x:c r="H148" t="str">
        <x:v>finance_2026_02.csv</x:v>
      </x:c>
    </x:row>
    <x:row r="149">
      <x:c r="A149" t="str">
        <x:v>TXN-00146</x:v>
      </x:c>
      <x:c r="B149" s="10" t="n">
        <x:v>46063</x:v>
      </x:c>
      <x:c r="C149" t="str">
        <x:v>2026-02</x:v>
      </x:c>
      <x:c r="D149" t="str">
        <x:v>Revenue</x:v>
      </x:c>
      <x:c r="E149" t="str">
        <x:v>Operations</x:v>
      </x:c>
      <x:c r="F149" s="11" t="n">
        <x:v>25011</x:v>
      </x:c>
      <x:c r="G149" s="11" t="n">
        <x:v>24228.97</x:v>
      </x:c>
      <x:c r="H149" t="str">
        <x:v>finance_2026_02.csv</x:v>
      </x:c>
    </x:row>
    <x:row r="150">
      <x:c r="A150" t="str">
        <x:v>TXN-00147</x:v>
      </x:c>
      <x:c r="B150" s="10" t="n">
        <x:v>46074</x:v>
      </x:c>
      <x:c r="C150" t="str">
        <x:v>2026-02</x:v>
      </x:c>
      <x:c r="D150" t="str">
        <x:v>Revenue</x:v>
      </x:c>
      <x:c r="E150" t="str">
        <x:v>Sales &amp; Marketing</x:v>
      </x:c>
      <x:c r="F150" s="11" t="n">
        <x:v>17684</x:v>
      </x:c>
      <x:c r="G150" s="11" t="n">
        <x:v>17663.04</x:v>
      </x:c>
      <x:c r="H150" t="str">
        <x:v>finance_2026_02.csv</x:v>
      </x:c>
    </x:row>
    <x:row r="151">
      <x:c r="A151" t="str">
        <x:v>TXN-00148</x:v>
      </x:c>
      <x:c r="B151" s="10" t="n">
        <x:v>46065</x:v>
      </x:c>
      <x:c r="C151" t="str">
        <x:v>2026-02</x:v>
      </x:c>
      <x:c r="D151" t="str">
        <x:v>Revenue</x:v>
      </x:c>
      <x:c r="E151" t="str">
        <x:v>Technology</x:v>
      </x:c>
      <x:c r="F151" s="11" t="n">
        <x:v>17060</x:v>
      </x:c>
      <x:c r="G151" s="11" t="n">
        <x:v>16362.27</x:v>
      </x:c>
      <x:c r="H151" t="str">
        <x:v>finance_2026_02.csv</x:v>
      </x:c>
    </x:row>
    <x:row r="152">
      <x:c r="A152" t="str">
        <x:v>TXN-00149</x:v>
      </x:c>
      <x:c r="B152" s="10" t="n">
        <x:v>46076</x:v>
      </x:c>
      <x:c r="C152" t="str">
        <x:v>2026-02</x:v>
      </x:c>
      <x:c r="D152" t="str">
        <x:v>Revenue</x:v>
      </x:c>
      <x:c r="E152" t="str">
        <x:v>Technology</x:v>
      </x:c>
      <x:c r="F152" s="11" t="n">
        <x:v>15665</x:v>
      </x:c>
      <x:c r="G152" s="11" t="n">
        <x:v>14392.8</x:v>
      </x:c>
      <x:c r="H152" t="str">
        <x:v>finance_2026_02.csv</x:v>
      </x:c>
    </x:row>
    <x:row r="153">
      <x:c r="A153" t="str">
        <x:v>TXN-00150</x:v>
      </x:c>
      <x:c r="B153" s="10" t="n">
        <x:v>46063</x:v>
      </x:c>
      <x:c r="C153" t="str">
        <x:v>2026-02</x:v>
      </x:c>
      <x:c r="D153" t="str">
        <x:v>Revenue</x:v>
      </x:c>
      <x:c r="E153" t="str">
        <x:v>Operations</x:v>
      </x:c>
      <x:c r="F153" s="11" t="n">
        <x:v>12520</x:v>
      </x:c>
      <x:c r="G153" s="11" t="n">
        <x:v>12206.29</x:v>
      </x:c>
      <x:c r="H153" t="str">
        <x:v>finance_2026_02.csv</x:v>
      </x:c>
    </x:row>
    <x:row r="154">
      <x:c r="A154" t="str">
        <x:v>TXN-00151</x:v>
      </x:c>
      <x:c r="B154" s="10" t="n">
        <x:v>46057</x:v>
      </x:c>
      <x:c r="C154" t="str">
        <x:v>2026-02</x:v>
      </x:c>
      <x:c r="D154" t="str">
        <x:v>Revenue</x:v>
      </x:c>
      <x:c r="E154" t="str">
        <x:v>General &amp; Admin</x:v>
      </x:c>
      <x:c r="F154" s="11" t="n">
        <x:v>19249</x:v>
      </x:c>
      <x:c r="G154" s="11" t="n">
        <x:v>17844.12</x:v>
      </x:c>
      <x:c r="H154" t="str">
        <x:v>finance_2026_02.csv</x:v>
      </x:c>
    </x:row>
    <x:row r="155">
      <x:c r="A155" t="str">
        <x:v>TXN-00152</x:v>
      </x:c>
      <x:c r="B155" s="10" t="n">
        <x:v>46062</x:v>
      </x:c>
      <x:c r="C155" t="str">
        <x:v>2026-02</x:v>
      </x:c>
      <x:c r="D155" t="str">
        <x:v>Revenue</x:v>
      </x:c>
      <x:c r="E155" t="str">
        <x:v>General &amp; Admin</x:v>
      </x:c>
      <x:c r="F155" s="11" t="n">
        <x:v>15056</x:v>
      </x:c>
      <x:c r="G155" s="11" t="n">
        <x:v>14509.45</x:v>
      </x:c>
      <x:c r="H155" t="str">
        <x:v>finance_2026_02.csv</x:v>
      </x:c>
    </x:row>
    <x:row r="156">
      <x:c r="A156" t="str">
        <x:v>TXN-00153</x:v>
      </x:c>
      <x:c r="B156" s="10" t="n">
        <x:v>46067</x:v>
      </x:c>
      <x:c r="C156" t="str">
        <x:v>2026-02</x:v>
      </x:c>
      <x:c r="D156" t="str">
        <x:v>Revenue</x:v>
      </x:c>
      <x:c r="E156" t="str">
        <x:v>Technology</x:v>
      </x:c>
      <x:c r="F156" s="11" t="n">
        <x:v>12051</x:v>
      </x:c>
      <x:c r="G156" s="11" t="n">
        <x:v>11240.51</x:v>
      </x:c>
      <x:c r="H156" t="str">
        <x:v>finance_2026_02.csv</x:v>
      </x:c>
    </x:row>
    <x:row r="157">
      <x:c r="A157" t="str">
        <x:v>TXN-00154</x:v>
      </x:c>
      <x:c r="B157" s="10" t="n">
        <x:v>46061</x:v>
      </x:c>
      <x:c r="C157" t="str">
        <x:v>2026-02</x:v>
      </x:c>
      <x:c r="D157" t="str">
        <x:v>Revenue</x:v>
      </x:c>
      <x:c r="E157" t="str">
        <x:v>Sales &amp; Marketing</x:v>
      </x:c>
      <x:c r="F157" s="11" t="n">
        <x:v>15350</x:v>
      </x:c>
      <x:c r="G157" s="11" t="n">
        <x:v>14217.15</x:v>
      </x:c>
      <x:c r="H157" t="str">
        <x:v>finance_2026_02.csv</x:v>
      </x:c>
    </x:row>
    <x:row r="158">
      <x:c r="A158" t="str">
        <x:v>TXN-00155</x:v>
      </x:c>
      <x:c r="B158" s="10" t="n">
        <x:v>46063</x:v>
      </x:c>
      <x:c r="C158" t="str">
        <x:v>2026-02</x:v>
      </x:c>
      <x:c r="D158" t="str">
        <x:v>Revenue</x:v>
      </x:c>
      <x:c r="E158" t="str">
        <x:v>General &amp; Admin</x:v>
      </x:c>
      <x:c r="F158" s="11" t="n">
        <x:v>19205</x:v>
      </x:c>
      <x:c r="G158" s="11" t="n">
        <x:v>18353.14</x:v>
      </x:c>
      <x:c r="H158" t="str">
        <x:v>finance_2026_02.csv</x:v>
      </x:c>
    </x:row>
    <x:row r="159">
      <x:c r="A159" t="str">
        <x:v>TXN-00156</x:v>
      </x:c>
      <x:c r="B159" s="10" t="n">
        <x:v>46061</x:v>
      </x:c>
      <x:c r="C159" t="str">
        <x:v>2026-02</x:v>
      </x:c>
      <x:c r="D159" t="str">
        <x:v>Revenue</x:v>
      </x:c>
      <x:c r="E159" t="str">
        <x:v>Sales &amp; Marketing</x:v>
      </x:c>
      <x:c r="F159" s="11" t="n">
        <x:v>13553</x:v>
      </x:c>
      <x:c r="G159" s="11" t="n">
        <x:v>13476.62</x:v>
      </x:c>
      <x:c r="H159" t="str">
        <x:v>finance_2026_02.csv</x:v>
      </x:c>
    </x:row>
    <x:row r="160">
      <x:c r="A160" t="str">
        <x:v>TXN-00157</x:v>
      </x:c>
      <x:c r="B160" s="10" t="n">
        <x:v>46072</x:v>
      </x:c>
      <x:c r="C160" t="str">
        <x:v>2026-02</x:v>
      </x:c>
      <x:c r="D160" t="str">
        <x:v>Revenue</x:v>
      </x:c>
      <x:c r="E160" t="str">
        <x:v>General &amp; Admin</x:v>
      </x:c>
      <x:c r="F160" s="11" t="n">
        <x:v>21681</x:v>
      </x:c>
      <x:c r="G160" s="11" t="n">
        <x:v>21136.46</x:v>
      </x:c>
      <x:c r="H160" t="str">
        <x:v>finance_2026_02.csv</x:v>
      </x:c>
    </x:row>
    <x:row r="161">
      <x:c r="A161" t="str">
        <x:v>TXN-00158</x:v>
      </x:c>
      <x:c r="B161" s="10" t="n">
        <x:v>46072</x:v>
      </x:c>
      <x:c r="C161" t="str">
        <x:v>2026-02</x:v>
      </x:c>
      <x:c r="D161" t="str">
        <x:v>Revenue</x:v>
      </x:c>
      <x:c r="E161" t="str">
        <x:v>Operations</x:v>
      </x:c>
      <x:c r="F161" s="11" t="n">
        <x:v>24517</x:v>
      </x:c>
      <x:c r="G161" s="11" t="n">
        <x:v>24593.88</x:v>
      </x:c>
      <x:c r="H161" t="str">
        <x:v>finance_2026_02.csv</x:v>
      </x:c>
    </x:row>
    <x:row r="162">
      <x:c r="A162" t="str">
        <x:v>TXN-00159</x:v>
      </x:c>
      <x:c r="B162" s="10" t="n">
        <x:v>46075</x:v>
      </x:c>
      <x:c r="C162" t="str">
        <x:v>2026-02</x:v>
      </x:c>
      <x:c r="D162" t="str">
        <x:v>Revenue</x:v>
      </x:c>
      <x:c r="E162" t="str">
        <x:v>Sales &amp; Marketing</x:v>
      </x:c>
      <x:c r="F162" s="11" t="n">
        <x:v>9749</x:v>
      </x:c>
      <x:c r="G162" s="11" t="n">
        <x:v>9924.88</x:v>
      </x:c>
      <x:c r="H162" t="str">
        <x:v>finance_2026_02.csv</x:v>
      </x:c>
    </x:row>
    <x:row r="163">
      <x:c r="A163" t="str">
        <x:v>TXN-00160</x:v>
      </x:c>
      <x:c r="B163" s="10" t="n">
        <x:v>46064</x:v>
      </x:c>
      <x:c r="C163" t="str">
        <x:v>2026-02</x:v>
      </x:c>
      <x:c r="D163" t="str">
        <x:v>Revenue</x:v>
      </x:c>
      <x:c r="E163" t="str">
        <x:v>Sales &amp; Marketing</x:v>
      </x:c>
      <x:c r="F163" s="11" t="n">
        <x:v>11984</x:v>
      </x:c>
      <x:c r="G163" s="11" t="n">
        <x:v>12209.28</x:v>
      </x:c>
      <x:c r="H163" t="str">
        <x:v>finance_2026_02.csv</x:v>
      </x:c>
    </x:row>
    <x:row r="164">
      <x:c r="A164" t="str">
        <x:v>TXN-00161</x:v>
      </x:c>
      <x:c r="B164" s="10" t="n">
        <x:v>46069</x:v>
      </x:c>
      <x:c r="C164" t="str">
        <x:v>2026-02</x:v>
      </x:c>
      <x:c r="D164" t="str">
        <x:v>Revenue</x:v>
      </x:c>
      <x:c r="E164" t="str">
        <x:v>Operations</x:v>
      </x:c>
      <x:c r="F164" s="11" t="n">
        <x:v>15405</x:v>
      </x:c>
      <x:c r="G164" s="11" t="n">
        <x:v>14029.66</x:v>
      </x:c>
      <x:c r="H164" t="str">
        <x:v>finance_2026_02.csv</x:v>
      </x:c>
    </x:row>
    <x:row r="165">
      <x:c r="A165" t="str">
        <x:v>TXN-00162</x:v>
      </x:c>
      <x:c r="B165" s="10" t="n">
        <x:v>46055</x:v>
      </x:c>
      <x:c r="C165" t="str">
        <x:v>2026-02</x:v>
      </x:c>
      <x:c r="D165" t="str">
        <x:v>Revenue</x:v>
      </x:c>
      <x:c r="E165" t="str">
        <x:v>People</x:v>
      </x:c>
      <x:c r="F165" s="11" t="n">
        <x:v>13873</x:v>
      </x:c>
      <x:c r="G165" s="11" t="n">
        <x:v>13600.22</x:v>
      </x:c>
      <x:c r="H165" t="str">
        <x:v>finance_2026_02.csv</x:v>
      </x:c>
    </x:row>
    <x:row r="166">
      <x:c r="A166" t="str">
        <x:v>TXN-00163</x:v>
      </x:c>
      <x:c r="B166" s="10" t="n">
        <x:v>46077</x:v>
      </x:c>
      <x:c r="C166" t="str">
        <x:v>2026-02</x:v>
      </x:c>
      <x:c r="D166" t="str">
        <x:v>Revenue</x:v>
      </x:c>
      <x:c r="E166" t="str">
        <x:v>People</x:v>
      </x:c>
      <x:c r="F166" s="11" t="n">
        <x:v>23430</x:v>
      </x:c>
      <x:c r="G166" s="11" t="n">
        <x:v>23125.34</x:v>
      </x:c>
      <x:c r="H166" t="str">
        <x:v>finance_2026_02.csv</x:v>
      </x:c>
    </x:row>
    <x:row r="167">
      <x:c r="A167" t="str">
        <x:v>TXN-00164</x:v>
      </x:c>
      <x:c r="B167" s="10" t="n">
        <x:v>46073</x:v>
      </x:c>
      <x:c r="C167" t="str">
        <x:v>2026-02</x:v>
      </x:c>
      <x:c r="D167" t="str">
        <x:v>Revenue</x:v>
      </x:c>
      <x:c r="E167" t="str">
        <x:v>Operations</x:v>
      </x:c>
      <x:c r="F167" s="11" t="n">
        <x:v>15429</x:v>
      </x:c>
      <x:c r="G167" s="11" t="n">
        <x:v>15398.77</x:v>
      </x:c>
      <x:c r="H167" t="str">
        <x:v>finance_2026_02.csv</x:v>
      </x:c>
    </x:row>
    <x:row r="168">
      <x:c r="A168" t="str">
        <x:v>TXN-00165</x:v>
      </x:c>
      <x:c r="B168" s="10" t="n">
        <x:v>46067</x:v>
      </x:c>
      <x:c r="C168" t="str">
        <x:v>2026-02</x:v>
      </x:c>
      <x:c r="D168" t="str">
        <x:v>Revenue</x:v>
      </x:c>
      <x:c r="E168" t="str">
        <x:v>Sales &amp; Marketing</x:v>
      </x:c>
      <x:c r="F168" s="11" t="n">
        <x:v>10101</x:v>
      </x:c>
      <x:c r="G168" s="11" t="n">
        <x:v>9843.88</x:v>
      </x:c>
      <x:c r="H168" t="str">
        <x:v>finance_2026_02.csv</x:v>
      </x:c>
    </x:row>
    <x:row r="169">
      <x:c r="A169" t="str">
        <x:v>TXN-00166</x:v>
      </x:c>
      <x:c r="B169" s="10" t="n">
        <x:v>46067</x:v>
      </x:c>
      <x:c r="C169" t="str">
        <x:v>2026-02</x:v>
      </x:c>
      <x:c r="D169" t="str">
        <x:v>Cost</x:v>
      </x:c>
      <x:c r="E169" t="str">
        <x:v>Sales &amp; Marketing</x:v>
      </x:c>
      <x:c r="F169" s="11" t="n">
        <x:v>-9546</x:v>
      </x:c>
      <x:c r="G169" s="11" t="n">
        <x:v>-8988.88</x:v>
      </x:c>
      <x:c r="H169" t="str">
        <x:v>finance_2026_02.csv</x:v>
      </x:c>
    </x:row>
    <x:row r="170">
      <x:c r="A170" t="str">
        <x:v>TXN-00167</x:v>
      </x:c>
      <x:c r="B170" s="10" t="n">
        <x:v>46076</x:v>
      </x:c>
      <x:c r="C170" t="str">
        <x:v>2026-02</x:v>
      </x:c>
      <x:c r="D170" t="str">
        <x:v>Cost</x:v>
      </x:c>
      <x:c r="E170" t="str">
        <x:v>Sales &amp; Marketing</x:v>
      </x:c>
      <x:c r="F170" s="11" t="n">
        <x:v>-8401</x:v>
      </x:c>
      <x:c r="G170" s="11" t="n">
        <x:v>-8271.29</x:v>
      </x:c>
      <x:c r="H170" t="str">
        <x:v>finance_2026_02.csv</x:v>
      </x:c>
    </x:row>
    <x:row r="171">
      <x:c r="A171" t="str">
        <x:v>TXN-00168</x:v>
      </x:c>
      <x:c r="B171" s="10" t="n">
        <x:v>46071</x:v>
      </x:c>
      <x:c r="C171" t="str">
        <x:v>2026-02</x:v>
      </x:c>
      <x:c r="D171" t="str">
        <x:v>Cost</x:v>
      </x:c>
      <x:c r="E171" t="str">
        <x:v>Sales &amp; Marketing</x:v>
      </x:c>
      <x:c r="F171" s="11" t="n">
        <x:v>-11396</x:v>
      </x:c>
      <x:c r="G171" s="11" t="n">
        <x:v>-12305.5</x:v>
      </x:c>
      <x:c r="H171" t="str">
        <x:v>finance_2026_02.csv</x:v>
      </x:c>
    </x:row>
    <x:row r="172">
      <x:c r="A172" t="str">
        <x:v>TXN-00169</x:v>
      </x:c>
      <x:c r="B172" s="10" t="n">
        <x:v>46071</x:v>
      </x:c>
      <x:c r="C172" t="str">
        <x:v>2026-02</x:v>
      </x:c>
      <x:c r="D172" t="str">
        <x:v>Cost</x:v>
      </x:c>
      <x:c r="E172" t="str">
        <x:v>General &amp; Admin</x:v>
      </x:c>
      <x:c r="F172" s="11" t="n">
        <x:v>-8755</x:v>
      </x:c>
      <x:c r="G172" s="11" t="n">
        <x:v>-8252.95</x:v>
      </x:c>
      <x:c r="H172" t="str">
        <x:v>finance_2026_02.csv</x:v>
      </x:c>
    </x:row>
    <x:row r="173">
      <x:c r="A173" t="str">
        <x:v>TXN-00170</x:v>
      </x:c>
      <x:c r="B173" s="10" t="n">
        <x:v>46060</x:v>
      </x:c>
      <x:c r="C173" t="str">
        <x:v>2026-02</x:v>
      </x:c>
      <x:c r="D173" t="str">
        <x:v>Cost</x:v>
      </x:c>
      <x:c r="E173" t="str">
        <x:v>Sales &amp; Marketing</x:v>
      </x:c>
      <x:c r="F173" s="11" t="n">
        <x:v>-14557</x:v>
      </x:c>
      <x:c r="G173" s="11" t="n">
        <x:v>-14196.01</x:v>
      </x:c>
      <x:c r="H173" t="str">
        <x:v>finance_2026_02.csv</x:v>
      </x:c>
    </x:row>
    <x:row r="174">
      <x:c r="A174" t="str">
        <x:v>TXN-00171</x:v>
      </x:c>
      <x:c r="B174" s="10" t="n">
        <x:v>46076</x:v>
      </x:c>
      <x:c r="C174" t="str">
        <x:v>2026-02</x:v>
      </x:c>
      <x:c r="D174" t="str">
        <x:v>Cost</x:v>
      </x:c>
      <x:c r="E174" t="str">
        <x:v>People</x:v>
      </x:c>
      <x:c r="F174" s="11" t="n">
        <x:v>-12998</x:v>
      </x:c>
      <x:c r="G174" s="11" t="n">
        <x:v>-12218.03</x:v>
      </x:c>
      <x:c r="H174" t="str">
        <x:v>finance_2026_02.csv</x:v>
      </x:c>
    </x:row>
    <x:row r="175">
      <x:c r="A175" t="str">
        <x:v>TXN-00172</x:v>
      </x:c>
      <x:c r="B175" s="10" t="n">
        <x:v>46065</x:v>
      </x:c>
      <x:c r="C175" t="str">
        <x:v>2026-02</x:v>
      </x:c>
      <x:c r="D175" t="str">
        <x:v>Cost</x:v>
      </x:c>
      <x:c r="E175" t="str">
        <x:v>People</x:v>
      </x:c>
      <x:c r="F175" s="11" t="n">
        <x:v>-8136</x:v>
      </x:c>
      <x:c r="G175" s="11" t="n">
        <x:v>-8306.77</x:v>
      </x:c>
      <x:c r="H175" t="str">
        <x:v>finance_2026_02.csv</x:v>
      </x:c>
    </x:row>
    <x:row r="176">
      <x:c r="A176" t="str">
        <x:v>TXN-00173</x:v>
      </x:c>
      <x:c r="B176" s="10" t="n">
        <x:v>46069</x:v>
      </x:c>
      <x:c r="C176" t="str">
        <x:v>2026-02</x:v>
      </x:c>
      <x:c r="D176" t="str">
        <x:v>Cost</x:v>
      </x:c>
      <x:c r="E176" t="str">
        <x:v>Technology</x:v>
      </x:c>
      <x:c r="F176" s="11" t="n">
        <x:v>-8312</x:v>
      </x:c>
      <x:c r="G176" s="11" t="n">
        <x:v>-8135.35</x:v>
      </x:c>
      <x:c r="H176" t="str">
        <x:v>finance_2026_02.csv</x:v>
      </x:c>
    </x:row>
    <x:row r="177">
      <x:c r="A177" t="str">
        <x:v>TXN-00174</x:v>
      </x:c>
      <x:c r="B177" s="10" t="n">
        <x:v>46072</x:v>
      </x:c>
      <x:c r="C177" t="str">
        <x:v>2026-02</x:v>
      </x:c>
      <x:c r="D177" t="str">
        <x:v>Cost</x:v>
      </x:c>
      <x:c r="E177" t="str">
        <x:v>People</x:v>
      </x:c>
      <x:c r="F177" s="11" t="n">
        <x:v>-9058</x:v>
      </x:c>
      <x:c r="G177" s="11" t="n">
        <x:v>-9518.31</x:v>
      </x:c>
      <x:c r="H177" t="str">
        <x:v>finance_2026_02.csv</x:v>
      </x:c>
    </x:row>
    <x:row r="178">
      <x:c r="A178" t="str">
        <x:v>TXN-00175</x:v>
      </x:c>
      <x:c r="B178" s="10" t="n">
        <x:v>46075</x:v>
      </x:c>
      <x:c r="C178" t="str">
        <x:v>2026-02</x:v>
      </x:c>
      <x:c r="D178" t="str">
        <x:v>Cost</x:v>
      </x:c>
      <x:c r="E178" t="str">
        <x:v>People</x:v>
      </x:c>
      <x:c r="F178" s="11" t="n">
        <x:v>-14147</x:v>
      </x:c>
      <x:c r="G178" s="11" t="n">
        <x:v>-13783.75</x:v>
      </x:c>
      <x:c r="H178" t="str">
        <x:v>finance_2026_02.csv</x:v>
      </x:c>
    </x:row>
    <x:row r="179">
      <x:c r="A179" t="str">
        <x:v>TXN-00176</x:v>
      </x:c>
      <x:c r="B179" s="10" t="n">
        <x:v>46073</x:v>
      </x:c>
      <x:c r="C179" t="str">
        <x:v>2026-02</x:v>
      </x:c>
      <x:c r="D179" t="str">
        <x:v>Cost</x:v>
      </x:c>
      <x:c r="E179" t="str">
        <x:v>Sales &amp; Marketing</x:v>
      </x:c>
      <x:c r="F179" s="11" t="n">
        <x:v>-9385</x:v>
      </x:c>
      <x:c r="G179" s="11" t="n">
        <x:v>-10027.96</x:v>
      </x:c>
      <x:c r="H179" t="str">
        <x:v>finance_2026_02.csv</x:v>
      </x:c>
    </x:row>
    <x:row r="180">
      <x:c r="A180" t="str">
        <x:v>TXN-00177</x:v>
      </x:c>
      <x:c r="B180" s="10" t="n">
        <x:v>46063</x:v>
      </x:c>
      <x:c r="C180" t="str">
        <x:v>2026-02</x:v>
      </x:c>
      <x:c r="D180" t="str">
        <x:v>Cost</x:v>
      </x:c>
      <x:c r="E180" t="str">
        <x:v>Sales &amp; Marketing</x:v>
      </x:c>
      <x:c r="F180" s="11" t="n">
        <x:v>-10230</x:v>
      </x:c>
      <x:c r="G180" s="11" t="n">
        <x:v>-10906.57</x:v>
      </x:c>
      <x:c r="H180" t="str">
        <x:v>finance_2026_02.csv</x:v>
      </x:c>
    </x:row>
    <x:row r="181">
      <x:c r="A181" t="str">
        <x:v>TXN-00178</x:v>
      </x:c>
      <x:c r="B181" s="10" t="n">
        <x:v>46060</x:v>
      </x:c>
      <x:c r="C181" t="str">
        <x:v>2026-02</x:v>
      </x:c>
      <x:c r="D181" t="str">
        <x:v>Cost</x:v>
      </x:c>
      <x:c r="E181" t="str">
        <x:v>General &amp; Admin</x:v>
      </x:c>
      <x:c r="F181" s="11" t="n">
        <x:v>-12215</x:v>
      </x:c>
      <x:c r="G181" s="11" t="n">
        <x:v>-11327.74</x:v>
      </x:c>
      <x:c r="H181" t="str">
        <x:v>finance_2026_02.csv</x:v>
      </x:c>
    </x:row>
    <x:row r="182">
      <x:c r="A182" t="str">
        <x:v>TXN-00179</x:v>
      </x:c>
      <x:c r="B182" s="10" t="n">
        <x:v>46059</x:v>
      </x:c>
      <x:c r="C182" t="str">
        <x:v>2026-02</x:v>
      </x:c>
      <x:c r="D182" t="str">
        <x:v>Cost</x:v>
      </x:c>
      <x:c r="E182" t="str">
        <x:v>General &amp; Admin</x:v>
      </x:c>
      <x:c r="F182" s="11" t="n">
        <x:v>-10833</x:v>
      </x:c>
      <x:c r="G182" s="11" t="n">
        <x:v>-10367.93</x:v>
      </x:c>
      <x:c r="H182" t="str">
        <x:v>finance_2026_02.csv</x:v>
      </x:c>
    </x:row>
    <x:row r="183">
      <x:c r="A183" t="str">
        <x:v>TXN-00180</x:v>
      </x:c>
      <x:c r="B183" s="10" t="n">
        <x:v>46057</x:v>
      </x:c>
      <x:c r="C183" t="str">
        <x:v>2026-02</x:v>
      </x:c>
      <x:c r="D183" t="str">
        <x:v>Cost</x:v>
      </x:c>
      <x:c r="E183" t="str">
        <x:v>People</x:v>
      </x:c>
      <x:c r="F183" s="11" t="n">
        <x:v>-6489</x:v>
      </x:c>
      <x:c r="G183" s="11" t="n">
        <x:v>-6833.52</x:v>
      </x:c>
      <x:c r="H183" t="str">
        <x:v>finance_2026_02.csv</x:v>
      </x:c>
    </x:row>
    <x:row r="184">
      <x:c r="A184" t="str">
        <x:v>TXN-00181</x:v>
      </x:c>
      <x:c r="B184" s="10" t="n">
        <x:v>46079</x:v>
      </x:c>
      <x:c r="C184" t="str">
        <x:v>2026-02</x:v>
      </x:c>
      <x:c r="D184" t="str">
        <x:v>Cost</x:v>
      </x:c>
      <x:c r="E184" t="str">
        <x:v>Operations</x:v>
      </x:c>
      <x:c r="F184" s="11" t="n">
        <x:v>-13615</x:v>
      </x:c>
      <x:c r="G184" s="11" t="n">
        <x:v>-13643.76</x:v>
      </x:c>
      <x:c r="H184" t="str">
        <x:v>finance_2026_02.csv</x:v>
      </x:c>
    </x:row>
    <x:row r="185">
      <x:c r="A185" t="str">
        <x:v>TXN-00182</x:v>
      </x:c>
      <x:c r="B185" s="10" t="n">
        <x:v>46076</x:v>
      </x:c>
      <x:c r="C185" t="str">
        <x:v>2026-02</x:v>
      </x:c>
      <x:c r="D185" t="str">
        <x:v>Cost</x:v>
      </x:c>
      <x:c r="E185" t="str">
        <x:v>General &amp; Admin</x:v>
      </x:c>
      <x:c r="F185" s="11" t="n">
        <x:v>-13188</x:v>
      </x:c>
      <x:c r="G185" s="11" t="n">
        <x:v>-12712.09</x:v>
      </x:c>
      <x:c r="H185" t="str">
        <x:v>finance_2026_02.csv</x:v>
      </x:c>
    </x:row>
    <x:row r="186">
      <x:c r="A186" t="str">
        <x:v>TXN-00183</x:v>
      </x:c>
      <x:c r="B186" s="10" t="n">
        <x:v>46073</x:v>
      </x:c>
      <x:c r="C186" t="str">
        <x:v>2026-02</x:v>
      </x:c>
      <x:c r="D186" t="str">
        <x:v>Cost</x:v>
      </x:c>
      <x:c r="E186" t="str">
        <x:v>Operations</x:v>
      </x:c>
      <x:c r="F186" s="11" t="n">
        <x:v>-4597</x:v>
      </x:c>
      <x:c r="G186" s="11" t="n">
        <x:v>-4938.02</x:v>
      </x:c>
      <x:c r="H186" t="str">
        <x:v>finance_2026_02.csv</x:v>
      </x:c>
    </x:row>
    <x:row r="187">
      <x:c r="A187" t="str">
        <x:v>TXN-00184</x:v>
      </x:c>
      <x:c r="B187" s="10" t="n">
        <x:v>46077</x:v>
      </x:c>
      <x:c r="C187" t="str">
        <x:v>2026-02</x:v>
      </x:c>
      <x:c r="D187" t="str">
        <x:v>Cost</x:v>
      </x:c>
      <x:c r="E187" t="str">
        <x:v>Operations</x:v>
      </x:c>
      <x:c r="F187" s="11" t="n">
        <x:v>-14118</x:v>
      </x:c>
      <x:c r="G187" s="11" t="n">
        <x:v>-13327.93</x:v>
      </x:c>
      <x:c r="H187" t="str">
        <x:v>finance_2026_02.csv</x:v>
      </x:c>
    </x:row>
    <x:row r="188">
      <x:c r="A188" t="str">
        <x:v>TXN-00185</x:v>
      </x:c>
      <x:c r="B188" s="10" t="n">
        <x:v>46076</x:v>
      </x:c>
      <x:c r="C188" t="str">
        <x:v>2026-02</x:v>
      </x:c>
      <x:c r="D188" t="str">
        <x:v>Cost</x:v>
      </x:c>
      <x:c r="E188" t="str">
        <x:v>Operations</x:v>
      </x:c>
      <x:c r="F188" s="11" t="n">
        <x:v>-3219</x:v>
      </x:c>
      <x:c r="G188" s="11" t="n">
        <x:v>-3330.35</x:v>
      </x:c>
      <x:c r="H188" t="str">
        <x:v>finance_2026_02.csv</x:v>
      </x:c>
    </x:row>
    <x:row r="189">
      <x:c r="A189" t="str">
        <x:v>TXN-00186</x:v>
      </x:c>
      <x:c r="B189" s="10" t="n">
        <x:v>46054</x:v>
      </x:c>
      <x:c r="C189" t="str">
        <x:v>2026-02</x:v>
      </x:c>
      <x:c r="D189" t="str">
        <x:v>Cost</x:v>
      </x:c>
      <x:c r="E189" t="str">
        <x:v>General &amp; Admin</x:v>
      </x:c>
      <x:c r="F189" s="11" t="n">
        <x:v>-4527</x:v>
      </x:c>
      <x:c r="G189" s="11" t="n">
        <x:v>-4486.6</x:v>
      </x:c>
      <x:c r="H189" t="str">
        <x:v>finance_2026_02.csv</x:v>
      </x:c>
    </x:row>
    <x:row r="190">
      <x:c r="A190" t="str">
        <x:v>TXN-00187</x:v>
      </x:c>
      <x:c r="B190" s="10" t="n">
        <x:v>46078</x:v>
      </x:c>
      <x:c r="C190" t="str">
        <x:v>2026-02</x:v>
      </x:c>
      <x:c r="D190" t="str">
        <x:v>Cost</x:v>
      </x:c>
      <x:c r="E190" t="str">
        <x:v>Operations</x:v>
      </x:c>
      <x:c r="F190" s="11" t="n">
        <x:v>-6432</x:v>
      </x:c>
      <x:c r="G190" s="11" t="n">
        <x:v>-6678.64</x:v>
      </x:c>
      <x:c r="H190" t="str">
        <x:v>finance_2026_02.csv</x:v>
      </x:c>
    </x:row>
    <x:row r="191">
      <x:c r="A191" t="str">
        <x:v>TXN-00188</x:v>
      </x:c>
      <x:c r="B191" s="10" t="n">
        <x:v>46076</x:v>
      </x:c>
      <x:c r="C191" t="str">
        <x:v>2026-02</x:v>
      </x:c>
      <x:c r="D191" t="str">
        <x:v>Cost</x:v>
      </x:c>
      <x:c r="E191" t="str">
        <x:v>Operations</x:v>
      </x:c>
      <x:c r="F191" s="11" t="n">
        <x:v>-11656</x:v>
      </x:c>
      <x:c r="G191" s="11" t="n">
        <x:v>-11954.37</x:v>
      </x:c>
      <x:c r="H191" t="str">
        <x:v>finance_2026_02.csv</x:v>
      </x:c>
    </x:row>
    <x:row r="192">
      <x:c r="A192" t="str">
        <x:v>TXN-00189</x:v>
      </x:c>
      <x:c r="B192" s="10" t="n">
        <x:v>46071</x:v>
      </x:c>
      <x:c r="C192" t="str">
        <x:v>2026-02</x:v>
      </x:c>
      <x:c r="D192" t="str">
        <x:v>Cost</x:v>
      </x:c>
      <x:c r="E192" t="str">
        <x:v>General &amp; Admin</x:v>
      </x:c>
      <x:c r="F192" s="11" t="n">
        <x:v>-12495</x:v>
      </x:c>
      <x:c r="G192" s="11" t="n">
        <x:v>-12979.02</x:v>
      </x:c>
      <x:c r="H192" t="str">
        <x:v>finance_2026_02.csv</x:v>
      </x:c>
    </x:row>
    <x:row r="193">
      <x:c r="A193" t="str">
        <x:v>TXN-00190</x:v>
      </x:c>
      <x:c r="B193" s="10" t="n">
        <x:v>46071</x:v>
      </x:c>
      <x:c r="C193" t="str">
        <x:v>2026-02</x:v>
      </x:c>
      <x:c r="D193" t="str">
        <x:v>Cost</x:v>
      </x:c>
      <x:c r="E193" t="str">
        <x:v>Sales &amp; Marketing</x:v>
      </x:c>
      <x:c r="F193" s="11" t="n">
        <x:v>-14733</x:v>
      </x:c>
      <x:c r="G193" s="11" t="n">
        <x:v>-13873.32</x:v>
      </x:c>
      <x:c r="H193" t="str">
        <x:v>finance_2026_02.csv</x:v>
      </x:c>
    </x:row>
    <x:row r="194">
      <x:c r="A194" t="str">
        <x:v>TXN-00191</x:v>
      </x:c>
      <x:c r="B194" s="10" t="n">
        <x:v>46078</x:v>
      </x:c>
      <x:c r="C194" t="str">
        <x:v>2026-02</x:v>
      </x:c>
      <x:c r="D194" t="str">
        <x:v>Cost</x:v>
      </x:c>
      <x:c r="E194" t="str">
        <x:v>Sales &amp; Marketing</x:v>
      </x:c>
      <x:c r="F194" s="11" t="n">
        <x:v>-2948</x:v>
      </x:c>
      <x:c r="G194" s="11" t="n">
        <x:v>-2716.07</x:v>
      </x:c>
      <x:c r="H194" t="str">
        <x:v>finance_2026_02.csv</x:v>
      </x:c>
    </x:row>
    <x:row r="195">
      <x:c r="A195" t="str">
        <x:v>TXN-00192</x:v>
      </x:c>
      <x:c r="B195" s="10" t="n">
        <x:v>46073</x:v>
      </x:c>
      <x:c r="C195" t="str">
        <x:v>2026-02</x:v>
      </x:c>
      <x:c r="D195" t="str">
        <x:v>Cost</x:v>
      </x:c>
      <x:c r="E195" t="str">
        <x:v>General &amp; Admin</x:v>
      </x:c>
      <x:c r="F195" s="11" t="n">
        <x:v>-8814</x:v>
      </x:c>
      <x:c r="G195" s="11" t="n">
        <x:v>-8833.54</x:v>
      </x:c>
      <x:c r="H195" t="str">
        <x:v>finance_2026_02.csv</x:v>
      </x:c>
    </x:row>
    <x:row r="196">
      <x:c r="A196" t="str">
        <x:v>TXN-00193</x:v>
      </x:c>
      <x:c r="B196" s="10" t="n">
        <x:v>46078</x:v>
      </x:c>
      <x:c r="C196" t="str">
        <x:v>2026-02</x:v>
      </x:c>
      <x:c r="D196" t="str">
        <x:v>Cost</x:v>
      </x:c>
      <x:c r="E196" t="str">
        <x:v>Sales &amp; Marketing</x:v>
      </x:c>
      <x:c r="F196" s="11" t="n">
        <x:v>-5775</x:v>
      </x:c>
      <x:c r="G196" s="11" t="n">
        <x:v>-6101.18</x:v>
      </x:c>
      <x:c r="H196" t="str">
        <x:v>finance_2026_02.csv</x:v>
      </x:c>
    </x:row>
    <x:row r="197">
      <x:c r="A197" t="str">
        <x:v>TXN-00194</x:v>
      </x:c>
      <x:c r="B197" s="10" t="n">
        <x:v>46074</x:v>
      </x:c>
      <x:c r="C197" t="str">
        <x:v>2026-02</x:v>
      </x:c>
      <x:c r="D197" t="str">
        <x:v>Cost</x:v>
      </x:c>
      <x:c r="E197" t="str">
        <x:v>Operations</x:v>
      </x:c>
      <x:c r="F197" s="11" t="n">
        <x:v>-5727</x:v>
      </x:c>
      <x:c r="G197" s="11" t="n">
        <x:v>-5313.84</x:v>
      </x:c>
      <x:c r="H197" t="str">
        <x:v>finance_2026_02.csv</x:v>
      </x:c>
    </x:row>
    <x:row r="198">
      <x:c r="A198" t="str">
        <x:v>TXN-00195</x:v>
      </x:c>
      <x:c r="B198" s="10" t="n">
        <x:v>46067</x:v>
      </x:c>
      <x:c r="C198" t="str">
        <x:v>2026-02</x:v>
      </x:c>
      <x:c r="D198" t="str">
        <x:v>Cost</x:v>
      </x:c>
      <x:c r="E198" t="str">
        <x:v>People</x:v>
      </x:c>
      <x:c r="F198" s="11" t="n">
        <x:v>-6338</x:v>
      </x:c>
      <x:c r="G198" s="11" t="n">
        <x:v>-5892.96</x:v>
      </x:c>
      <x:c r="H198" t="str">
        <x:v>finance_2026_02.csv</x:v>
      </x:c>
    </x:row>
    <x:row r="199">
      <x:c r="A199" t="str">
        <x:v>TXN-00196</x:v>
      </x:c>
      <x:c r="B199" s="10" t="n">
        <x:v>46070</x:v>
      </x:c>
      <x:c r="C199" t="str">
        <x:v>2026-02</x:v>
      </x:c>
      <x:c r="D199" t="str">
        <x:v>Cost</x:v>
      </x:c>
      <x:c r="E199" t="str">
        <x:v>Technology</x:v>
      </x:c>
      <x:c r="F199" s="11" t="n">
        <x:v>-5583</x:v>
      </x:c>
      <x:c r="G199" s="11" t="n">
        <x:v>-5250.32</x:v>
      </x:c>
      <x:c r="H199" t="str">
        <x:v>finance_2026_02.csv</x:v>
      </x:c>
    </x:row>
    <x:row r="200">
      <x:c r="A200" t="str">
        <x:v>TXN-00197</x:v>
      </x:c>
      <x:c r="B200" s="10" t="n">
        <x:v>46068</x:v>
      </x:c>
      <x:c r="C200" t="str">
        <x:v>2026-02</x:v>
      </x:c>
      <x:c r="D200" t="str">
        <x:v>Cost</x:v>
      </x:c>
      <x:c r="E200" t="str">
        <x:v>People</x:v>
      </x:c>
      <x:c r="F200" s="11" t="n">
        <x:v>-7757</x:v>
      </x:c>
      <x:c r="G200" s="11" t="n">
        <x:v>-7793.63</x:v>
      </x:c>
      <x:c r="H200" t="str">
        <x:v>finance_2026_02.csv</x:v>
      </x:c>
    </x:row>
    <x:row r="201">
      <x:c r="A201" t="str">
        <x:v>TXN-00198</x:v>
      </x:c>
      <x:c r="B201" s="10" t="n">
        <x:v>46074</x:v>
      </x:c>
      <x:c r="C201" t="str">
        <x:v>2026-02</x:v>
      </x:c>
      <x:c r="D201" t="str">
        <x:v>Cost</x:v>
      </x:c>
      <x:c r="E201" t="str">
        <x:v>General &amp; Admin</x:v>
      </x:c>
      <x:c r="F201" s="11" t="n">
        <x:v>-12143</x:v>
      </x:c>
      <x:c r="G201" s="11" t="n">
        <x:v>-11433.64</x:v>
      </x:c>
      <x:c r="H201" t="str">
        <x:v>finance_2026_02.csv</x:v>
      </x:c>
    </x:row>
    <x:row r="202">
      <x:c r="A202" t="str">
        <x:v>TXN-00199</x:v>
      </x:c>
      <x:c r="B202" s="10" t="n">
        <x:v>46078</x:v>
      </x:c>
      <x:c r="C202" t="str">
        <x:v>2026-02</x:v>
      </x:c>
      <x:c r="D202" t="str">
        <x:v>Cost</x:v>
      </x:c>
      <x:c r="E202" t="str">
        <x:v>Operations</x:v>
      </x:c>
      <x:c r="F202" s="11" t="n">
        <x:v>-7545</x:v>
      </x:c>
      <x:c r="G202" s="11" t="n">
        <x:v>-7392.18</x:v>
      </x:c>
      <x:c r="H202" t="str">
        <x:v>finance_2026_02.csv</x:v>
      </x:c>
    </x:row>
    <x:row r="203">
      <x:c r="A203" t="str">
        <x:v>TXN-00200</x:v>
      </x:c>
      <x:c r="B203" s="10" t="n">
        <x:v>46066</x:v>
      </x:c>
      <x:c r="C203" t="str">
        <x:v>2026-02</x:v>
      </x:c>
      <x:c r="D203" t="str">
        <x:v>Cost</x:v>
      </x:c>
      <x:c r="E203" t="str">
        <x:v>Technology</x:v>
      </x:c>
      <x:c r="F203" s="11" t="n">
        <x:v>-3910</x:v>
      </x:c>
      <x:c r="G203" s="11" t="n">
        <x:v>-4161.28</x:v>
      </x:c>
      <x:c r="H203" t="str">
        <x:v>finance_2026_02.csv</x:v>
      </x:c>
    </x:row>
    <x:row r="204">
      <x:c r="A204" t="str">
        <x:v>TXN-00201</x:v>
      </x:c>
      <x:c r="B204" s="10" t="n">
        <x:v>46065</x:v>
      </x:c>
      <x:c r="C204" t="str">
        <x:v>2026-02</x:v>
      </x:c>
      <x:c r="D204" t="str">
        <x:v>Cost</x:v>
      </x:c>
      <x:c r="E204" t="str">
        <x:v>Operations</x:v>
      </x:c>
      <x:c r="F204" s="11" t="n">
        <x:v>-5618</x:v>
      </x:c>
      <x:c r="G204" s="11" t="n">
        <x:v>-5755.66</x:v>
      </x:c>
      <x:c r="H204" t="str">
        <x:v>finance_2026_02.csv</x:v>
      </x:c>
    </x:row>
    <x:row r="205">
      <x:c r="A205" t="str">
        <x:v>TXN-00202</x:v>
      </x:c>
      <x:c r="B205" s="10" t="n">
        <x:v>46060</x:v>
      </x:c>
      <x:c r="C205" t="str">
        <x:v>2026-02</x:v>
      </x:c>
      <x:c r="D205" t="str">
        <x:v>Cost</x:v>
      </x:c>
      <x:c r="E205" t="str">
        <x:v>Technology</x:v>
      </x:c>
      <x:c r="F205" s="11" t="n">
        <x:v>-9016</x:v>
      </x:c>
      <x:c r="G205" s="11" t="n">
        <x:v>-9616.05</x:v>
      </x:c>
      <x:c r="H205" t="str">
        <x:v>finance_2026_02.csv</x:v>
      </x:c>
    </x:row>
    <x:row r="206">
      <x:c r="A206" t="str">
        <x:v>TXN-00203</x:v>
      </x:c>
      <x:c r="B206" s="10" t="n">
        <x:v>46054</x:v>
      </x:c>
      <x:c r="C206" t="str">
        <x:v>2026-02</x:v>
      </x:c>
      <x:c r="D206" t="str">
        <x:v>Cost</x:v>
      </x:c>
      <x:c r="E206" t="str">
        <x:v>General &amp; Admin</x:v>
      </x:c>
      <x:c r="F206" s="11" t="n">
        <x:v>-12628</x:v>
      </x:c>
      <x:c r="G206" s="11" t="n">
        <x:v>-13394.15</x:v>
      </x:c>
      <x:c r="H206" t="str">
        <x:v>finance_2026_02.csv</x:v>
      </x:c>
    </x:row>
    <x:row r="207">
      <x:c r="A207" t="str">
        <x:v>TXN-00204</x:v>
      </x:c>
      <x:c r="B207" s="10" t="n">
        <x:v>46081</x:v>
      </x:c>
      <x:c r="C207" t="str">
        <x:v>2026-02</x:v>
      </x:c>
      <x:c r="D207" t="str">
        <x:v>Cost</x:v>
      </x:c>
      <x:c r="E207" t="str">
        <x:v>Technology</x:v>
      </x:c>
      <x:c r="F207" s="11" t="n">
        <x:v>-8986</x:v>
      </x:c>
      <x:c r="G207" s="11" t="n">
        <x:v>-8422.2</x:v>
      </x:c>
      <x:c r="H207" t="str">
        <x:v>finance_2026_02.csv</x:v>
      </x:c>
    </x:row>
    <x:row r="208">
      <x:c r="A208" t="str">
        <x:v>TXN-00205</x:v>
      </x:c>
      <x:c r="B208" s="10" t="n">
        <x:v>46062</x:v>
      </x:c>
      <x:c r="C208" t="str">
        <x:v>2026-02</x:v>
      </x:c>
      <x:c r="D208" t="str">
        <x:v>Cost</x:v>
      </x:c>
      <x:c r="E208" t="str">
        <x:v>Operations</x:v>
      </x:c>
      <x:c r="F208" s="11" t="n">
        <x:v>-12560</x:v>
      </x:c>
      <x:c r="G208" s="11" t="n">
        <x:v>-11961.3</x:v>
      </x:c>
      <x:c r="H208" t="str">
        <x:v>finance_2026_02.csv</x:v>
      </x:c>
    </x:row>
    <x:row r="209">
      <x:c r="A209" t="str">
        <x:v>TXN-00206</x:v>
      </x:c>
      <x:c r="B209" s="10" t="n">
        <x:v>46061</x:v>
      </x:c>
      <x:c r="C209" t="str">
        <x:v>2026-02</x:v>
      </x:c>
      <x:c r="D209" t="str">
        <x:v>Cost</x:v>
      </x:c>
      <x:c r="E209" t="str">
        <x:v>Sales &amp; Marketing</x:v>
      </x:c>
      <x:c r="F209" s="11" t="n">
        <x:v>-12227</x:v>
      </x:c>
      <x:c r="G209" s="11" t="n">
        <x:v>-11451.71</x:v>
      </x:c>
      <x:c r="H209" t="str">
        <x:v>finance_2026_02.csv</x:v>
      </x:c>
    </x:row>
    <x:row r="210">
      <x:c r="A210" t="str">
        <x:v>TXN-00207</x:v>
      </x:c>
      <x:c r="B210" s="10" t="n">
        <x:v>46078</x:v>
      </x:c>
      <x:c r="C210" t="str">
        <x:v>2026-02</x:v>
      </x:c>
      <x:c r="D210" t="str">
        <x:v>Cost</x:v>
      </x:c>
      <x:c r="E210" t="str">
        <x:v>General &amp; Admin</x:v>
      </x:c>
      <x:c r="F210" s="11" t="n">
        <x:v>-12715</x:v>
      </x:c>
      <x:c r="G210" s="11" t="n">
        <x:v>-12428.75</x:v>
      </x:c>
      <x:c r="H210" t="str">
        <x:v>finance_2026_02.csv</x:v>
      </x:c>
    </x:row>
    <x:row r="211">
      <x:c r="A211" t="str">
        <x:v>TXN-00208</x:v>
      </x:c>
      <x:c r="B211" s="10" t="n">
        <x:v>46069</x:v>
      </x:c>
      <x:c r="C211" t="str">
        <x:v>2026-02</x:v>
      </x:c>
      <x:c r="D211" t="str">
        <x:v>Cost</x:v>
      </x:c>
      <x:c r="E211" t="str">
        <x:v>Technology</x:v>
      </x:c>
      <x:c r="F211" s="11" t="n">
        <x:v>-8953</x:v>
      </x:c>
      <x:c r="G211" s="11" t="n">
        <x:v>-8574.73</x:v>
      </x:c>
      <x:c r="H211" t="str">
        <x:v>finance_2026_02.csv</x:v>
      </x:c>
    </x:row>
    <x:row r="212">
      <x:c r="A212" t="str">
        <x:v>TXN-00209</x:v>
      </x:c>
      <x:c r="B212" s="10" t="n">
        <x:v>46075</x:v>
      </x:c>
      <x:c r="C212" t="str">
        <x:v>2026-02</x:v>
      </x:c>
      <x:c r="D212" t="str">
        <x:v>Cost</x:v>
      </x:c>
      <x:c r="E212" t="str">
        <x:v>Technology</x:v>
      </x:c>
      <x:c r="F212" s="11" t="n">
        <x:v>-4640</x:v>
      </x:c>
      <x:c r="G212" s="11" t="n">
        <x:v>-4531.79</x:v>
      </x:c>
      <x:c r="H212" t="str">
        <x:v>finance_2026_02.csv</x:v>
      </x:c>
    </x:row>
    <x:row r="213">
      <x:c r="A213" t="str">
        <x:v>TXN-00210</x:v>
      </x:c>
      <x:c r="B213" s="10" t="n">
        <x:v>46062</x:v>
      </x:c>
      <x:c r="C213" t="str">
        <x:v>2026-02</x:v>
      </x:c>
      <x:c r="D213" t="str">
        <x:v>Cost</x:v>
      </x:c>
      <x:c r="E213" t="str">
        <x:v>Operations</x:v>
      </x:c>
      <x:c r="F213" s="11" t="n">
        <x:v>-11634</x:v>
      </x:c>
      <x:c r="G213" s="11" t="n">
        <x:v>-11253.8</x:v>
      </x:c>
      <x:c r="H213" t="str">
        <x:v>finance_2026_02.csv</x:v>
      </x:c>
    </x:row>
    <x:row r="214">
      <x:c r="A214" t="str">
        <x:v>TXN-00211</x:v>
      </x:c>
      <x:c r="B214" s="10" t="n">
        <x:v>46070</x:v>
      </x:c>
      <x:c r="C214" t="str">
        <x:v>2026-02</x:v>
      </x:c>
      <x:c r="D214" t="str">
        <x:v>Cost</x:v>
      </x:c>
      <x:c r="E214" t="str">
        <x:v>Operations</x:v>
      </x:c>
      <x:c r="F214" s="11" t="n">
        <x:v>-7574</x:v>
      </x:c>
      <x:c r="G214" s="11" t="n">
        <x:v>-7895.63</x:v>
      </x:c>
      <x:c r="H214" t="str">
        <x:v>finance_2026_02.csv</x:v>
      </x:c>
    </x:row>
    <x:row r="215">
      <x:c r="A215" t="str">
        <x:v>TXN-00212</x:v>
      </x:c>
      <x:c r="B215" s="10" t="n">
        <x:v>46056</x:v>
      </x:c>
      <x:c r="C215" t="str">
        <x:v>2026-02</x:v>
      </x:c>
      <x:c r="D215" t="str">
        <x:v>Cost</x:v>
      </x:c>
      <x:c r="E215" t="str">
        <x:v>Sales &amp; Marketing</x:v>
      </x:c>
      <x:c r="F215" s="11" t="n">
        <x:v>-6077</x:v>
      </x:c>
      <x:c r="G215" s="11" t="n">
        <x:v>-6491.96</x:v>
      </x:c>
      <x:c r="H215" t="str">
        <x:v>finance_2026_02.csv</x:v>
      </x:c>
    </x:row>
    <x:row r="216">
      <x:c r="A216" t="str">
        <x:v>TXN-00213</x:v>
      </x:c>
      <x:c r="B216" s="10" t="n">
        <x:v>46054</x:v>
      </x:c>
      <x:c r="C216" t="str">
        <x:v>2026-02</x:v>
      </x:c>
      <x:c r="D216" t="str">
        <x:v>Cost</x:v>
      </x:c>
      <x:c r="E216" t="str">
        <x:v>General &amp; Admin</x:v>
      </x:c>
      <x:c r="F216" s="11" t="n">
        <x:v>-2882</x:v>
      </x:c>
      <x:c r="G216" s="11" t="n">
        <x:v>-2652.24</x:v>
      </x:c>
      <x:c r="H216" t="str">
        <x:v>finance_2026_02.csv</x:v>
      </x:c>
    </x:row>
    <x:row r="217">
      <x:c r="A217" t="str">
        <x:v>TXN-00214</x:v>
      </x:c>
      <x:c r="B217" s="10" t="n">
        <x:v>46078</x:v>
      </x:c>
      <x:c r="C217" t="str">
        <x:v>2026-02</x:v>
      </x:c>
      <x:c r="D217" t="str">
        <x:v>Cost</x:v>
      </x:c>
      <x:c r="E217" t="str">
        <x:v>Technology</x:v>
      </x:c>
      <x:c r="F217" s="11" t="n">
        <x:v>-6808</x:v>
      </x:c>
      <x:c r="G217" s="11" t="n">
        <x:v>-7168.85</x:v>
      </x:c>
      <x:c r="H217" t="str">
        <x:v>finance_2026_02.csv</x:v>
      </x:c>
    </x:row>
    <x:row r="218">
      <x:c r="A218" t="str">
        <x:v>TXN-00215</x:v>
      </x:c>
      <x:c r="B218" s="10" t="n">
        <x:v>46066</x:v>
      </x:c>
      <x:c r="C218" t="str">
        <x:v>2026-02</x:v>
      </x:c>
      <x:c r="D218" t="str">
        <x:v>Cost</x:v>
      </x:c>
      <x:c r="E218" t="str">
        <x:v>People</x:v>
      </x:c>
      <x:c r="F218" s="11" t="n">
        <x:v>-3454</x:v>
      </x:c>
      <x:c r="G218" s="11" t="n">
        <x:v>-3646.99</x:v>
      </x:c>
      <x:c r="H218" t="str">
        <x:v>finance_2026_02.csv</x:v>
      </x:c>
    </x:row>
    <x:row r="219">
      <x:c r="A219" t="str">
        <x:v>TXN-00216</x:v>
      </x:c>
      <x:c r="B219" s="10" t="n">
        <x:v>46080</x:v>
      </x:c>
      <x:c r="C219" t="str">
        <x:v>2026-02</x:v>
      </x:c>
      <x:c r="D219" t="str">
        <x:v>Cost</x:v>
      </x:c>
      <x:c r="E219" t="str">
        <x:v>Sales &amp; Marketing</x:v>
      </x:c>
      <x:c r="F219" s="11" t="n">
        <x:v>-14081</x:v>
      </x:c>
      <x:c r="G219" s="11" t="n">
        <x:v>-14055.44</x:v>
      </x:c>
      <x:c r="H219" t="str">
        <x:v>finance_2026_02.csv</x:v>
      </x:c>
    </x:row>
    <x:row r="220">
      <x:c r="A220" t="str">
        <x:v>TXN-00217</x:v>
      </x:c>
      <x:c r="B220" s="10" t="n">
        <x:v>46075</x:v>
      </x:c>
      <x:c r="C220" t="str">
        <x:v>2026-02</x:v>
      </x:c>
      <x:c r="D220" t="str">
        <x:v>Cost</x:v>
      </x:c>
      <x:c r="E220" t="str">
        <x:v>Operations</x:v>
      </x:c>
      <x:c r="F220" s="11" t="n">
        <x:v>-8563</x:v>
      </x:c>
      <x:c r="G220" s="11" t="n">
        <x:v>-8758.78</x:v>
      </x:c>
      <x:c r="H220" t="str">
        <x:v>finance_2026_02.csv</x:v>
      </x:c>
    </x:row>
    <x:row r="221">
      <x:c r="A221" t="str">
        <x:v>TXN-00218</x:v>
      </x:c>
      <x:c r="B221" s="10" t="n">
        <x:v>46075</x:v>
      </x:c>
      <x:c r="C221" t="str">
        <x:v>2026-02</x:v>
      </x:c>
      <x:c r="D221" t="str">
        <x:v>Cost</x:v>
      </x:c>
      <x:c r="E221" t="str">
        <x:v>People</x:v>
      </x:c>
      <x:c r="F221" s="11" t="n">
        <x:v>-10116</x:v>
      </x:c>
      <x:c r="G221" s="11" t="n">
        <x:v>-10423.39</x:v>
      </x:c>
      <x:c r="H221" t="str">
        <x:v>finance_2026_02.csv</x:v>
      </x:c>
    </x:row>
    <x:row r="222">
      <x:c r="A222" t="str">
        <x:v>TXN-00219</x:v>
      </x:c>
      <x:c r="B222" s="10" t="n">
        <x:v>46077</x:v>
      </x:c>
      <x:c r="C222" t="str">
        <x:v>2026-02</x:v>
      </x:c>
      <x:c r="D222" t="str">
        <x:v>Cost</x:v>
      </x:c>
      <x:c r="E222" t="str">
        <x:v>General &amp; Admin</x:v>
      </x:c>
      <x:c r="F222" s="11" t="n">
        <x:v>-9396</x:v>
      </x:c>
      <x:c r="G222" s="11" t="n">
        <x:v>-10072.88</x:v>
      </x:c>
      <x:c r="H222" t="str">
        <x:v>finance_2026_02.csv</x:v>
      </x:c>
    </x:row>
    <x:row r="223">
      <x:c r="A223" t="str">
        <x:v>TXN-00220</x:v>
      </x:c>
      <x:c r="B223" s="10" t="n">
        <x:v>46073</x:v>
      </x:c>
      <x:c r="C223" t="str">
        <x:v>2026-02</x:v>
      </x:c>
      <x:c r="D223" t="str">
        <x:v>Cost</x:v>
      </x:c>
      <x:c r="E223" t="str">
        <x:v>Sales &amp; Marketing</x:v>
      </x:c>
      <x:c r="F223" s="11" t="n">
        <x:v>-6434</x:v>
      </x:c>
      <x:c r="G223" s="11" t="n">
        <x:v>-6754.15</x:v>
      </x:c>
      <x:c r="H223" t="str">
        <x:v>finance_2026_02.csv</x:v>
      </x:c>
    </x:row>
    <x:row r="224">
      <x:c r="A224" t="str">
        <x:v>TXN-00221</x:v>
      </x:c>
      <x:c r="B224" s="10" t="n">
        <x:v>46078</x:v>
      </x:c>
      <x:c r="C224" t="str">
        <x:v>2026-02</x:v>
      </x:c>
      <x:c r="D224" t="str">
        <x:v>Cost</x:v>
      </x:c>
      <x:c r="E224" t="str">
        <x:v>Operations</x:v>
      </x:c>
      <x:c r="F224" s="11" t="n">
        <x:v>-8838</x:v>
      </x:c>
      <x:c r="G224" s="11" t="n">
        <x:v>-8208.26</x:v>
      </x:c>
      <x:c r="H224" t="str">
        <x:v>finance_2026_02.csv</x:v>
      </x:c>
    </x:row>
    <x:row r="225">
      <x:c r="A225" t="str">
        <x:v>TXN-00222</x:v>
      </x:c>
      <x:c r="B225" s="10" t="n">
        <x:v>46059</x:v>
      </x:c>
      <x:c r="C225" t="str">
        <x:v>2026-02</x:v>
      </x:c>
      <x:c r="D225" t="str">
        <x:v>Cost</x:v>
      </x:c>
      <x:c r="E225" t="str">
        <x:v>People</x:v>
      </x:c>
      <x:c r="F225" s="11" t="n">
        <x:v>-8437</x:v>
      </x:c>
      <x:c r="G225" s="11" t="n">
        <x:v>-7848.71</x:v>
      </x:c>
      <x:c r="H225" t="str">
        <x:v>finance_2026_02.csv</x:v>
      </x:c>
    </x:row>
    <x:row r="226">
      <x:c r="A226" t="str">
        <x:v>TXN-00223</x:v>
      </x:c>
      <x:c r="B226" s="10" t="n">
        <x:v>46075</x:v>
      </x:c>
      <x:c r="C226" t="str">
        <x:v>2026-02</x:v>
      </x:c>
      <x:c r="D226" t="str">
        <x:v>Cost</x:v>
      </x:c>
      <x:c r="E226" t="str">
        <x:v>Sales &amp; Marketing</x:v>
      </x:c>
      <x:c r="F226" s="11" t="n">
        <x:v>-5082</x:v>
      </x:c>
      <x:c r="G226" s="11" t="n">
        <x:v>-4977.27</x:v>
      </x:c>
      <x:c r="H226" t="str">
        <x:v>finance_2026_02.csv</x:v>
      </x:c>
    </x:row>
    <x:row r="227">
      <x:c r="A227" t="str">
        <x:v>TXN-00224</x:v>
      </x:c>
      <x:c r="B227" s="10" t="n">
        <x:v>46067</x:v>
      </x:c>
      <x:c r="C227" t="str">
        <x:v>2026-02</x:v>
      </x:c>
      <x:c r="D227" t="str">
        <x:v>Cost</x:v>
      </x:c>
      <x:c r="E227" t="str">
        <x:v>Operations</x:v>
      </x:c>
      <x:c r="F227" s="11" t="n">
        <x:v>-2776</x:v>
      </x:c>
      <x:c r="G227" s="11" t="n">
        <x:v>-2717.81</x:v>
      </x:c>
      <x:c r="H227" t="str">
        <x:v>finance_2026_02.csv</x:v>
      </x:c>
    </x:row>
    <x:row r="228">
      <x:c r="A228" t="str">
        <x:v>TXN-00225</x:v>
      </x:c>
      <x:c r="B228" s="10" t="n">
        <x:v>46068</x:v>
      </x:c>
      <x:c r="C228" t="str">
        <x:v>2026-02</x:v>
      </x:c>
      <x:c r="D228" t="str">
        <x:v>Cost</x:v>
      </x:c>
      <x:c r="E228" t="str">
        <x:v>Operations</x:v>
      </x:c>
      <x:c r="F228" s="11" t="n">
        <x:v>-7664</x:v>
      </x:c>
      <x:c r="G228" s="11" t="n">
        <x:v>-7842.35</x:v>
      </x:c>
      <x:c r="H228" t="str">
        <x:v>finance_2026_02.csv</x:v>
      </x:c>
    </x:row>
    <x:row r="229">
      <x:c r="A229" t="str">
        <x:v>TXN-00226</x:v>
      </x:c>
      <x:c r="B229" s="10" t="n">
        <x:v>46068</x:v>
      </x:c>
      <x:c r="C229" t="str">
        <x:v>2026-02</x:v>
      </x:c>
      <x:c r="D229" t="str">
        <x:v>Cash Flow</x:v>
      </x:c>
      <x:c r="E229" t="str">
        <x:v>People</x:v>
      </x:c>
      <x:c r="F229" s="11" t="n">
        <x:v>6579</x:v>
      </x:c>
      <x:c r="G229" s="11" t="n">
        <x:v>7161.91</x:v>
      </x:c>
      <x:c r="H229" t="str">
        <x:v>finance_2026_02.csv</x:v>
      </x:c>
    </x:row>
    <x:row r="230">
      <x:c r="A230" t="str">
        <x:v>TXN-00227</x:v>
      </x:c>
      <x:c r="B230" s="10" t="n">
        <x:v>46068</x:v>
      </x:c>
      <x:c r="C230" t="str">
        <x:v>2026-02</x:v>
      </x:c>
      <x:c r="D230" t="str">
        <x:v>Cash Flow</x:v>
      </x:c>
      <x:c r="E230" t="str">
        <x:v>People</x:v>
      </x:c>
      <x:c r="F230" s="11" t="n">
        <x:v>4365</x:v>
      </x:c>
      <x:c r="G230" s="11" t="n">
        <x:v>4105.87</x:v>
      </x:c>
      <x:c r="H230" t="str">
        <x:v>finance_2026_02.csv</x:v>
      </x:c>
    </x:row>
    <x:row r="231">
      <x:c r="A231" t="str">
        <x:v>TXN-00228</x:v>
      </x:c>
      <x:c r="B231" s="10" t="n">
        <x:v>46069</x:v>
      </x:c>
      <x:c r="C231" t="str">
        <x:v>2026-02</x:v>
      </x:c>
      <x:c r="D231" t="str">
        <x:v>Cash Flow</x:v>
      </x:c>
      <x:c r="E231" t="str">
        <x:v>Operations</x:v>
      </x:c>
      <x:c r="F231" s="11" t="n">
        <x:v>-3852</x:v>
      </x:c>
      <x:c r="G231" s="11" t="n">
        <x:v>-3738.57</x:v>
      </x:c>
      <x:c r="H231" t="str">
        <x:v>finance_2026_02.csv</x:v>
      </x:c>
    </x:row>
    <x:row r="232">
      <x:c r="A232" t="str">
        <x:v>TXN-00229</x:v>
      </x:c>
      <x:c r="B232" s="10" t="n">
        <x:v>46076</x:v>
      </x:c>
      <x:c r="C232" t="str">
        <x:v>2026-02</x:v>
      </x:c>
      <x:c r="D232" t="str">
        <x:v>Cash Flow</x:v>
      </x:c>
      <x:c r="E232" t="str">
        <x:v>Technology</x:v>
      </x:c>
      <x:c r="F232" s="11" t="n">
        <x:v>-1040</x:v>
      </x:c>
      <x:c r="G232" s="11" t="n">
        <x:v>-1127.71</x:v>
      </x:c>
      <x:c r="H232" t="str">
        <x:v>finance_2026_02.csv</x:v>
      </x:c>
    </x:row>
    <x:row r="233">
      <x:c r="A233" t="str">
        <x:v>TXN-00230</x:v>
      </x:c>
      <x:c r="B233" s="10" t="n">
        <x:v>46068</x:v>
      </x:c>
      <x:c r="C233" t="str">
        <x:v>2026-02</x:v>
      </x:c>
      <x:c r="D233" t="str">
        <x:v>Cash Flow</x:v>
      </x:c>
      <x:c r="E233" t="str">
        <x:v>Operations</x:v>
      </x:c>
      <x:c r="F233" s="11" t="n">
        <x:v>-2693</x:v>
      </x:c>
      <x:c r="G233" s="11" t="n">
        <x:v>-2920.96</x:v>
      </x:c>
      <x:c r="H233" t="str">
        <x:v>finance_2026_02.csv</x:v>
      </x:c>
    </x:row>
    <x:row r="234">
      <x:c r="A234" t="str">
        <x:v>TXN-00231</x:v>
      </x:c>
      <x:c r="B234" s="10" t="n">
        <x:v>46060</x:v>
      </x:c>
      <x:c r="C234" t="str">
        <x:v>2026-02</x:v>
      </x:c>
      <x:c r="D234" t="str">
        <x:v>Cash Flow</x:v>
      </x:c>
      <x:c r="E234" t="str">
        <x:v>People</x:v>
      </x:c>
      <x:c r="F234" s="11" t="n">
        <x:v>-2406</x:v>
      </x:c>
      <x:c r="G234" s="11" t="n">
        <x:v>-2170.42</x:v>
      </x:c>
      <x:c r="H234" t="str">
        <x:v>finance_2026_02.csv</x:v>
      </x:c>
    </x:row>
    <x:row r="235">
      <x:c r="A235" t="str">
        <x:v>TXN-00232</x:v>
      </x:c>
      <x:c r="B235" s="10" t="n">
        <x:v>46081</x:v>
      </x:c>
      <x:c r="C235" t="str">
        <x:v>2026-02</x:v>
      </x:c>
      <x:c r="D235" t="str">
        <x:v>Cash Flow</x:v>
      </x:c>
      <x:c r="E235" t="str">
        <x:v>Sales &amp; Marketing</x:v>
      </x:c>
      <x:c r="F235" s="11" t="n">
        <x:v>4554</x:v>
      </x:c>
      <x:c r="G235" s="11" t="n">
        <x:v>4104.17</x:v>
      </x:c>
      <x:c r="H235" t="str">
        <x:v>finance_2026_02.csv</x:v>
      </x:c>
    </x:row>
    <x:row r="236">
      <x:c r="A236" t="str">
        <x:v>TXN-00233</x:v>
      </x:c>
      <x:c r="B236" s="10" t="n">
        <x:v>46075</x:v>
      </x:c>
      <x:c r="C236" t="str">
        <x:v>2026-02</x:v>
      </x:c>
      <x:c r="D236" t="str">
        <x:v>Cash Flow</x:v>
      </x:c>
      <x:c r="E236" t="str">
        <x:v>Operations</x:v>
      </x:c>
      <x:c r="F236" s="11" t="n">
        <x:v>9341</x:v>
      </x:c>
      <x:c r="G236" s="11" t="n">
        <x:v>8266.79</x:v>
      </x:c>
      <x:c r="H236" t="str">
        <x:v>finance_2026_02.csv</x:v>
      </x:c>
    </x:row>
    <x:row r="237">
      <x:c r="A237" t="str">
        <x:v>TXN-00234</x:v>
      </x:c>
      <x:c r="B237" s="10" t="n">
        <x:v>46054</x:v>
      </x:c>
      <x:c r="C237" t="str">
        <x:v>2026-02</x:v>
      </x:c>
      <x:c r="D237" t="str">
        <x:v>Cash Flow</x:v>
      </x:c>
      <x:c r="E237" t="str">
        <x:v>General &amp; Admin</x:v>
      </x:c>
      <x:c r="F237" s="11" t="n">
        <x:v>11594</x:v>
      </x:c>
      <x:c r="G237" s="11" t="n">
        <x:v>11193</x:v>
      </x:c>
      <x:c r="H237" t="str">
        <x:v>finance_2026_02.csv</x:v>
      </x:c>
    </x:row>
    <x:row r="238">
      <x:c r="A238" t="str">
        <x:v>TXN-00235</x:v>
      </x:c>
      <x:c r="B238" s="10" t="n">
        <x:v>46071</x:v>
      </x:c>
      <x:c r="C238" t="str">
        <x:v>2026-02</x:v>
      </x:c>
      <x:c r="D238" t="str">
        <x:v>Cash Flow</x:v>
      </x:c>
      <x:c r="E238" t="str">
        <x:v>Sales &amp; Marketing</x:v>
      </x:c>
      <x:c r="F238" s="11" t="n">
        <x:v>2575</x:v>
      </x:c>
      <x:c r="G238" s="11" t="n">
        <x:v>2808.32</x:v>
      </x:c>
      <x:c r="H238" t="str">
        <x:v>finance_2026_02.csv</x:v>
      </x:c>
    </x:row>
    <x:row r="239">
      <x:c r="A239" t="str">
        <x:v>TXN-00236</x:v>
      </x:c>
      <x:c r="B239" s="10" t="n">
        <x:v>46069</x:v>
      </x:c>
      <x:c r="C239" t="str">
        <x:v>2026-02</x:v>
      </x:c>
      <x:c r="D239" t="str">
        <x:v>Cash Flow</x:v>
      </x:c>
      <x:c r="E239" t="str">
        <x:v>Operations</x:v>
      </x:c>
      <x:c r="F239" s="11" t="n">
        <x:v>9294</x:v>
      </x:c>
      <x:c r="G239" s="11" t="n">
        <x:v>9284.29</x:v>
      </x:c>
      <x:c r="H239" t="str">
        <x:v>finance_2026_02.csv</x:v>
      </x:c>
    </x:row>
    <x:row r="240">
      <x:c r="A240" t="str">
        <x:v>TXN-00237</x:v>
      </x:c>
      <x:c r="B240" s="10" t="n">
        <x:v>46075</x:v>
      </x:c>
      <x:c r="C240" t="str">
        <x:v>2026-02</x:v>
      </x:c>
      <x:c r="D240" t="str">
        <x:v>Cash Flow</x:v>
      </x:c>
      <x:c r="E240" t="str">
        <x:v>People</x:v>
      </x:c>
      <x:c r="F240" s="11" t="n">
        <x:v>5290</x:v>
      </x:c>
      <x:c r="G240" s="11" t="n">
        <x:v>4949.76</x:v>
      </x:c>
      <x:c r="H240" t="str">
        <x:v>finance_2026_02.csv</x:v>
      </x:c>
    </x:row>
    <x:row r="241">
      <x:c r="A241" t="str">
        <x:v>TXN-00238</x:v>
      </x:c>
      <x:c r="B241" s="10" t="n">
        <x:v>46076</x:v>
      </x:c>
      <x:c r="C241" t="str">
        <x:v>2026-02</x:v>
      </x:c>
      <x:c r="D241" t="str">
        <x:v>Cash Flow</x:v>
      </x:c>
      <x:c r="E241" t="str">
        <x:v>Technology</x:v>
      </x:c>
      <x:c r="F241" s="11" t="n">
        <x:v>-1363</x:v>
      </x:c>
      <x:c r="G241" s="11" t="n">
        <x:v>-1310.09</x:v>
      </x:c>
      <x:c r="H241" t="str">
        <x:v>finance_2026_02.csv</x:v>
      </x:c>
    </x:row>
    <x:row r="242">
      <x:c r="A242" t="str">
        <x:v>TXN-00239</x:v>
      </x:c>
      <x:c r="B242" s="10" t="n">
        <x:v>46058</x:v>
      </x:c>
      <x:c r="C242" t="str">
        <x:v>2026-02</x:v>
      </x:c>
      <x:c r="D242" t="str">
        <x:v>Cash Flow</x:v>
      </x:c>
      <x:c r="E242" t="str">
        <x:v>General &amp; Admin</x:v>
      </x:c>
      <x:c r="F242" s="11" t="n">
        <x:v>9234</x:v>
      </x:c>
      <x:c r="G242" s="11" t="n">
        <x:v>10045.95</x:v>
      </x:c>
      <x:c r="H242" t="str">
        <x:v>finance_2026_02.csv</x:v>
      </x:c>
    </x:row>
    <x:row r="243">
      <x:c r="A243" t="str">
        <x:v>TXN-00240</x:v>
      </x:c>
      <x:c r="B243" s="10" t="n">
        <x:v>46069</x:v>
      </x:c>
      <x:c r="C243" t="str">
        <x:v>2026-02</x:v>
      </x:c>
      <x:c r="D243" t="str">
        <x:v>Cash Flow</x:v>
      </x:c>
      <x:c r="E243" t="str">
        <x:v>General &amp; Admin</x:v>
      </x:c>
      <x:c r="F243" s="11" t="n">
        <x:v>8091</x:v>
      </x:c>
      <x:c r="G243" s="11" t="n">
        <x:v>8767.2</x:v>
      </x:c>
      <x:c r="H243" t="str">
        <x:v>finance_2026_02.csv</x:v>
      </x:c>
    </x:row>
    <x:row r="244">
      <x:c r="A244" t="str">
        <x:v>TXN-00241</x:v>
      </x:c>
      <x:c r="B244" s="10" t="n">
        <x:v>46097</x:v>
      </x:c>
      <x:c r="C244" t="str">
        <x:v>2026-03</x:v>
      </x:c>
      <x:c r="D244" t="str">
        <x:v>Revenue</x:v>
      </x:c>
      <x:c r="E244" t="str">
        <x:v>General &amp; Admin</x:v>
      </x:c>
      <x:c r="F244" s="11" t="n">
        <x:v>14930</x:v>
      </x:c>
      <x:c r="G244" s="11" t="n">
        <x:v>14073.3</x:v>
      </x:c>
      <x:c r="H244" t="str">
        <x:v>finance_2026_03.csv</x:v>
      </x:c>
    </x:row>
    <x:row r="245">
      <x:c r="A245" t="str">
        <x:v>TXN-00242</x:v>
      </x:c>
      <x:c r="B245" s="10" t="n">
        <x:v>46101</x:v>
      </x:c>
      <x:c r="C245" t="str">
        <x:v>2026-03</x:v>
      </x:c>
      <x:c r="D245" t="str">
        <x:v>Revenue</x:v>
      </x:c>
      <x:c r="E245" t="str">
        <x:v>Sales &amp; Marketing</x:v>
      </x:c>
      <x:c r="F245" s="11" t="n">
        <x:v>17478</x:v>
      </x:c>
      <x:c r="G245" s="11" t="n">
        <x:v>17351.61</x:v>
      </x:c>
      <x:c r="H245" t="str">
        <x:v>finance_2026_03.csv</x:v>
      </x:c>
    </x:row>
    <x:row r="246">
      <x:c r="A246" t="str">
        <x:v>TXN-00243</x:v>
      </x:c>
      <x:c r="B246" s="10" t="n">
        <x:v>46103</x:v>
      </x:c>
      <x:c r="C246" t="str">
        <x:v>2026-03</x:v>
      </x:c>
      <x:c r="D246" t="str">
        <x:v>Revenue</x:v>
      </x:c>
      <x:c r="E246" t="str">
        <x:v>General &amp; Admin</x:v>
      </x:c>
      <x:c r="F246" s="11" t="n">
        <x:v>25513</x:v>
      </x:c>
      <x:c r="G246" s="11" t="n">
        <x:v>26520.53</x:v>
      </x:c>
      <x:c r="H246" t="str">
        <x:v>finance_2026_03.csv</x:v>
      </x:c>
    </x:row>
    <x:row r="247">
      <x:c r="A247" t="str">
        <x:v>TXN-00244</x:v>
      </x:c>
      <x:c r="B247" s="10" t="n">
        <x:v>46086</x:v>
      </x:c>
      <x:c r="C247" t="str">
        <x:v>2026-03</x:v>
      </x:c>
      <x:c r="D247" t="str">
        <x:v>Revenue</x:v>
      </x:c>
      <x:c r="E247" t="str">
        <x:v>Technology</x:v>
      </x:c>
      <x:c r="F247" s="11" t="n">
        <x:v>17601</x:v>
      </x:c>
      <x:c r="G247" s="11" t="n">
        <x:v>17806.09</x:v>
      </x:c>
      <x:c r="H247" t="str">
        <x:v>finance_2026_03.csv</x:v>
      </x:c>
    </x:row>
    <x:row r="248">
      <x:c r="A248" t="str">
        <x:v>TXN-00245</x:v>
      </x:c>
      <x:c r="B248" s="10" t="n">
        <x:v>46103</x:v>
      </x:c>
      <x:c r="C248" t="str">
        <x:v>2026-03</x:v>
      </x:c>
      <x:c r="D248" t="str">
        <x:v>Revenue</x:v>
      </x:c>
      <x:c r="E248" t="str">
        <x:v>General &amp; Admin</x:v>
      </x:c>
      <x:c r="F248" s="11" t="n">
        <x:v>9033</x:v>
      </x:c>
      <x:c r="G248" s="11" t="n">
        <x:v>9070.23</x:v>
      </x:c>
      <x:c r="H248" t="str">
        <x:v>finance_2026_03.csv</x:v>
      </x:c>
    </x:row>
    <x:row r="249">
      <x:c r="A249" t="str">
        <x:v>TXN-00246</x:v>
      </x:c>
      <x:c r="B249" s="10" t="n">
        <x:v>46083</x:v>
      </x:c>
      <x:c r="C249" t="str">
        <x:v>2026-03</x:v>
      </x:c>
      <x:c r="D249" t="str">
        <x:v>Revenue</x:v>
      </x:c>
      <x:c r="E249" t="str">
        <x:v>Operations</x:v>
      </x:c>
      <x:c r="F249" s="11" t="n">
        <x:v>14359</x:v>
      </x:c>
      <x:c r="G249" s="11" t="n">
        <x:v>13782.31</x:v>
      </x:c>
      <x:c r="H249" t="str">
        <x:v>finance_2026_03.csv</x:v>
      </x:c>
    </x:row>
    <x:row r="250">
      <x:c r="A250" t="str">
        <x:v>TXN-00247</x:v>
      </x:c>
      <x:c r="B250" s="10" t="n">
        <x:v>46082</x:v>
      </x:c>
      <x:c r="C250" t="str">
        <x:v>2026-03</x:v>
      </x:c>
      <x:c r="D250" t="str">
        <x:v>Revenue</x:v>
      </x:c>
      <x:c r="E250" t="str">
        <x:v>Operations</x:v>
      </x:c>
      <x:c r="F250" s="11" t="n">
        <x:v>17135</x:v>
      </x:c>
      <x:c r="G250" s="11" t="n">
        <x:v>15900.59</x:v>
      </x:c>
      <x:c r="H250" t="str">
        <x:v>finance_2026_03.csv</x:v>
      </x:c>
    </x:row>
    <x:row r="251">
      <x:c r="A251" t="str">
        <x:v>TXN-00248</x:v>
      </x:c>
      <x:c r="B251" s="10" t="n">
        <x:v>46089</x:v>
      </x:c>
      <x:c r="C251" t="str">
        <x:v>2026-03</x:v>
      </x:c>
      <x:c r="D251" t="str">
        <x:v>Revenue</x:v>
      </x:c>
      <x:c r="E251" t="str">
        <x:v>General &amp; Admin</x:v>
      </x:c>
      <x:c r="F251" s="11" t="n">
        <x:v>10648</x:v>
      </x:c>
      <x:c r="G251" s="11" t="n">
        <x:v>9715.26</x:v>
      </x:c>
      <x:c r="H251" t="str">
        <x:v>finance_2026_03.csv</x:v>
      </x:c>
    </x:row>
    <x:row r="252">
      <x:c r="A252" t="str">
        <x:v>TXN-00249</x:v>
      </x:c>
      <x:c r="B252" s="10" t="n">
        <x:v>46089</x:v>
      </x:c>
      <x:c r="C252" t="str">
        <x:v>2026-03</x:v>
      </x:c>
      <x:c r="D252" t="str">
        <x:v>Revenue</x:v>
      </x:c>
      <x:c r="E252" t="str">
        <x:v>General &amp; Admin</x:v>
      </x:c>
      <x:c r="F252" s="11" t="n">
        <x:v>22673</x:v>
      </x:c>
      <x:c r="G252" s="11" t="n">
        <x:v>23571.8</x:v>
      </x:c>
      <x:c r="H252" t="str">
        <x:v>finance_2026_03.csv</x:v>
      </x:c>
    </x:row>
    <x:row r="253">
      <x:c r="A253" t="str">
        <x:v>TXN-00250</x:v>
      </x:c>
      <x:c r="B253" s="10" t="n">
        <x:v>46090</x:v>
      </x:c>
      <x:c r="C253" t="str">
        <x:v>2026-03</x:v>
      </x:c>
      <x:c r="D253" t="str">
        <x:v>Revenue</x:v>
      </x:c>
      <x:c r="E253" t="str">
        <x:v>Technology</x:v>
      </x:c>
      <x:c r="F253" s="11" t="n">
        <x:v>11604</x:v>
      </x:c>
      <x:c r="G253" s="11" t="n">
        <x:v>10677.7</x:v>
      </x:c>
      <x:c r="H253" t="str">
        <x:v>finance_2026_03.csv</x:v>
      </x:c>
    </x:row>
    <x:row r="254">
      <x:c r="A254" t="str">
        <x:v>TXN-00251</x:v>
      </x:c>
      <x:c r="B254" s="10" t="n">
        <x:v>46092</x:v>
      </x:c>
      <x:c r="C254" t="str">
        <x:v>2026-03</x:v>
      </x:c>
      <x:c r="D254" t="str">
        <x:v>Revenue</x:v>
      </x:c>
      <x:c r="E254" t="str">
        <x:v>Sales &amp; Marketing</x:v>
      </x:c>
      <x:c r="F254" s="11" t="n">
        <x:v>24454</x:v>
      </x:c>
      <x:c r="G254" s="11" t="n">
        <x:v>24858.02</x:v>
      </x:c>
      <x:c r="H254" t="str">
        <x:v>finance_2026_03.csv</x:v>
      </x:c>
    </x:row>
    <x:row r="255">
      <x:c r="A255" t="str">
        <x:v>TXN-00252</x:v>
      </x:c>
      <x:c r="B255" s="10" t="n">
        <x:v>46091</x:v>
      </x:c>
      <x:c r="C255" t="str">
        <x:v>2026-03</x:v>
      </x:c>
      <x:c r="D255" t="str">
        <x:v>Revenue</x:v>
      </x:c>
      <x:c r="E255" t="str">
        <x:v>Sales &amp; Marketing</x:v>
      </x:c>
      <x:c r="F255" s="11" t="n">
        <x:v>20870</x:v>
      </x:c>
      <x:c r="G255" s="11" t="n">
        <x:v>21538.46</x:v>
      </x:c>
      <x:c r="H255" t="str">
        <x:v>finance_2026_03.csv</x:v>
      </x:c>
    </x:row>
    <x:row r="256">
      <x:c r="A256" t="str">
        <x:v>TXN-00253</x:v>
      </x:c>
      <x:c r="B256" s="10" t="n">
        <x:v>46082</x:v>
      </x:c>
      <x:c r="C256" t="str">
        <x:v>2026-03</x:v>
      </x:c>
      <x:c r="D256" t="str">
        <x:v>Revenue</x:v>
      </x:c>
      <x:c r="E256" t="str">
        <x:v>Technology</x:v>
      </x:c>
      <x:c r="F256" s="11" t="n">
        <x:v>10584</x:v>
      </x:c>
      <x:c r="G256" s="11" t="n">
        <x:v>10108.68</x:v>
      </x:c>
      <x:c r="H256" t="str">
        <x:v>finance_2026_03.csv</x:v>
      </x:c>
    </x:row>
    <x:row r="257">
      <x:c r="A257" t="str">
        <x:v>TXN-00254</x:v>
      </x:c>
      <x:c r="B257" s="10" t="n">
        <x:v>46104</x:v>
      </x:c>
      <x:c r="C257" t="str">
        <x:v>2026-03</x:v>
      </x:c>
      <x:c r="D257" t="str">
        <x:v>Revenue</x:v>
      </x:c>
      <x:c r="E257" t="str">
        <x:v>Sales &amp; Marketing</x:v>
      </x:c>
      <x:c r="F257" s="11" t="n">
        <x:v>10385</x:v>
      </x:c>
      <x:c r="G257" s="11" t="n">
        <x:v>10487.21</x:v>
      </x:c>
      <x:c r="H257" t="str">
        <x:v>finance_2026_03.csv</x:v>
      </x:c>
    </x:row>
    <x:row r="258">
      <x:c r="A258" t="str">
        <x:v>TXN-00255</x:v>
      </x:c>
      <x:c r="B258" s="10" t="n">
        <x:v>46104</x:v>
      </x:c>
      <x:c r="C258" t="str">
        <x:v>2026-03</x:v>
      </x:c>
      <x:c r="D258" t="str">
        <x:v>Revenue</x:v>
      </x:c>
      <x:c r="E258" t="str">
        <x:v>Sales &amp; Marketing</x:v>
      </x:c>
      <x:c r="F258" s="11" t="n">
        <x:v>14090</x:v>
      </x:c>
      <x:c r="G258" s="11" t="n">
        <x:v>13168.19</x:v>
      </x:c>
      <x:c r="H258" t="str">
        <x:v>finance_2026_03.csv</x:v>
      </x:c>
    </x:row>
    <x:row r="259">
      <x:c r="A259" t="str">
        <x:v>TXN-00256</x:v>
      </x:c>
      <x:c r="B259" s="10" t="n">
        <x:v>46109</x:v>
      </x:c>
      <x:c r="C259" t="str">
        <x:v>2026-03</x:v>
      </x:c>
      <x:c r="D259" t="str">
        <x:v>Revenue</x:v>
      </x:c>
      <x:c r="E259" t="str">
        <x:v>People</x:v>
      </x:c>
      <x:c r="F259" s="11" t="n">
        <x:v>11196</x:v>
      </x:c>
      <x:c r="G259" s="11" t="n">
        <x:v>10199.7</x:v>
      </x:c>
      <x:c r="H259" t="str">
        <x:v>finance_2026_03.csv</x:v>
      </x:c>
    </x:row>
    <x:row r="260">
      <x:c r="A260" t="str">
        <x:v>TXN-00257</x:v>
      </x:c>
      <x:c r="B260" s="10" t="n">
        <x:v>46098</x:v>
      </x:c>
      <x:c r="C260" t="str">
        <x:v>2026-03</x:v>
      </x:c>
      <x:c r="D260" t="str">
        <x:v>Revenue</x:v>
      </x:c>
      <x:c r="E260" t="str">
        <x:v>General &amp; Admin</x:v>
      </x:c>
      <x:c r="F260" s="11" t="n">
        <x:v>15370</x:v>
      </x:c>
      <x:c r="G260" s="11" t="n">
        <x:v>14251.85</x:v>
      </x:c>
      <x:c r="H260" t="str">
        <x:v>finance_2026_03.csv</x:v>
      </x:c>
    </x:row>
    <x:row r="261">
      <x:c r="A261" t="str">
        <x:v>TXN-00258</x:v>
      </x:c>
      <x:c r="B261" s="10" t="n">
        <x:v>46086</x:v>
      </x:c>
      <x:c r="C261" t="str">
        <x:v>2026-03</x:v>
      </x:c>
      <x:c r="D261" t="str">
        <x:v>Revenue</x:v>
      </x:c>
      <x:c r="E261" t="str">
        <x:v>General &amp; Admin</x:v>
      </x:c>
      <x:c r="F261" s="11" t="n">
        <x:v>11979</x:v>
      </x:c>
      <x:c r="G261" s="11" t="n">
        <x:v>12267.11</x:v>
      </x:c>
      <x:c r="H261" t="str">
        <x:v>finance_2026_03.csv</x:v>
      </x:c>
    </x:row>
    <x:row r="262">
      <x:c r="A262" t="str">
        <x:v>TXN-00259</x:v>
      </x:c>
      <x:c r="B262" s="10" t="n">
        <x:v>46093</x:v>
      </x:c>
      <x:c r="C262" t="str">
        <x:v>2026-03</x:v>
      </x:c>
      <x:c r="D262" t="str">
        <x:v>Revenue</x:v>
      </x:c>
      <x:c r="E262" t="str">
        <x:v>Technology</x:v>
      </x:c>
      <x:c r="F262" s="11" t="n">
        <x:v>17687</x:v>
      </x:c>
      <x:c r="G262" s="11" t="n">
        <x:v>17441.19</x:v>
      </x:c>
      <x:c r="H262" t="str">
        <x:v>finance_2026_03.csv</x:v>
      </x:c>
    </x:row>
    <x:row r="263">
      <x:c r="A263" t="str">
        <x:v>TXN-00260</x:v>
      </x:c>
      <x:c r="B263" s="10" t="n">
        <x:v>46093</x:v>
      </x:c>
      <x:c r="C263" t="str">
        <x:v>2026-03</x:v>
      </x:c>
      <x:c r="D263" t="str">
        <x:v>Revenue</x:v>
      </x:c>
      <x:c r="E263" t="str">
        <x:v>Operations</x:v>
      </x:c>
      <x:c r="F263" s="11" t="n">
        <x:v>21450</x:v>
      </x:c>
      <x:c r="G263" s="11" t="n">
        <x:v>20848.22</x:v>
      </x:c>
      <x:c r="H263" t="str">
        <x:v>finance_2026_03.csv</x:v>
      </x:c>
    </x:row>
    <x:row r="264">
      <x:c r="A264" t="str">
        <x:v>TXN-00261</x:v>
      </x:c>
      <x:c r="B264" s="10" t="n">
        <x:v>46097</x:v>
      </x:c>
      <x:c r="C264" t="str">
        <x:v>2026-03</x:v>
      </x:c>
      <x:c r="D264" t="str">
        <x:v>Revenue</x:v>
      </x:c>
      <x:c r="E264" t="str">
        <x:v>General &amp; Admin</x:v>
      </x:c>
      <x:c r="F264" s="11" t="n">
        <x:v>23738</x:v>
      </x:c>
      <x:c r="G264" s="11" t="n">
        <x:v>23188.13</x:v>
      </x:c>
      <x:c r="H264" t="str">
        <x:v>finance_2026_03.csv</x:v>
      </x:c>
    </x:row>
    <x:row r="265">
      <x:c r="A265" t="str">
        <x:v>TXN-00262</x:v>
      </x:c>
      <x:c r="B265" s="10" t="n">
        <x:v>46096</x:v>
      </x:c>
      <x:c r="C265" t="str">
        <x:v>2026-03</x:v>
      </x:c>
      <x:c r="D265" t="str">
        <x:v>Revenue</x:v>
      </x:c>
      <x:c r="E265" t="str">
        <x:v>General &amp; Admin</x:v>
      </x:c>
      <x:c r="F265" s="11" t="n">
        <x:v>20634</x:v>
      </x:c>
      <x:c r="G265" s="11" t="n">
        <x:v>19401.84</x:v>
      </x:c>
      <x:c r="H265" t="str">
        <x:v>finance_2026_03.csv</x:v>
      </x:c>
    </x:row>
    <x:row r="266">
      <x:c r="A266" t="str">
        <x:v>TXN-00263</x:v>
      </x:c>
      <x:c r="B266" s="10" t="n">
        <x:v>46083</x:v>
      </x:c>
      <x:c r="C266" t="str">
        <x:v>2026-03</x:v>
      </x:c>
      <x:c r="D266" t="str">
        <x:v>Revenue</x:v>
      </x:c>
      <x:c r="E266" t="str">
        <x:v>General &amp; Admin</x:v>
      </x:c>
      <x:c r="F266" s="11" t="n">
        <x:v>17903</x:v>
      </x:c>
      <x:c r="G266" s="11" t="n">
        <x:v>17423.27</x:v>
      </x:c>
      <x:c r="H266" t="str">
        <x:v>finance_2026_03.csv</x:v>
      </x:c>
    </x:row>
    <x:row r="267">
      <x:c r="A267" t="str">
        <x:v>TXN-00264</x:v>
      </x:c>
      <x:c r="B267" s="10" t="n">
        <x:v>46083</x:v>
      </x:c>
      <x:c r="C267" t="str">
        <x:v>2026-03</x:v>
      </x:c>
      <x:c r="D267" t="str">
        <x:v>Revenue</x:v>
      </x:c>
      <x:c r="E267" t="str">
        <x:v>People</x:v>
      </x:c>
      <x:c r="F267" s="11" t="n">
        <x:v>25810</x:v>
      </x:c>
      <x:c r="G267" s="11" t="n">
        <x:v>25237.43</x:v>
      </x:c>
      <x:c r="H267" t="str">
        <x:v>finance_2026_03.csv</x:v>
      </x:c>
    </x:row>
    <x:row r="268">
      <x:c r="A268" t="str">
        <x:v>TXN-00265</x:v>
      </x:c>
      <x:c r="B268" s="10" t="n">
        <x:v>46099</x:v>
      </x:c>
      <x:c r="C268" t="str">
        <x:v>2026-03</x:v>
      </x:c>
      <x:c r="D268" t="str">
        <x:v>Revenue</x:v>
      </x:c>
      <x:c r="E268" t="str">
        <x:v>Technology</x:v>
      </x:c>
      <x:c r="F268" s="11" t="n">
        <x:v>22858</x:v>
      </x:c>
      <x:c r="G268" s="11" t="n">
        <x:v>21883.1</x:v>
      </x:c>
      <x:c r="H268" t="str">
        <x:v>finance_2026_03.csv</x:v>
      </x:c>
    </x:row>
    <x:row r="269">
      <x:c r="A269" t="str">
        <x:v>TXN-00266</x:v>
      </x:c>
      <x:c r="B269" s="10" t="n">
        <x:v>46096</x:v>
      </x:c>
      <x:c r="C269" t="str">
        <x:v>2026-03</x:v>
      </x:c>
      <x:c r="D269" t="str">
        <x:v>Revenue</x:v>
      </x:c>
      <x:c r="E269" t="str">
        <x:v>Operations</x:v>
      </x:c>
      <x:c r="F269" s="11" t="n">
        <x:v>14234</x:v>
      </x:c>
      <x:c r="G269" s="11" t="n">
        <x:v>13790.45</x:v>
      </x:c>
      <x:c r="H269" t="str">
        <x:v>finance_2026_03.csv</x:v>
      </x:c>
    </x:row>
    <x:row r="270">
      <x:c r="A270" t="str">
        <x:v>TXN-00267</x:v>
      </x:c>
      <x:c r="B270" s="10" t="n">
        <x:v>46097</x:v>
      </x:c>
      <x:c r="C270" t="str">
        <x:v>2026-03</x:v>
      </x:c>
      <x:c r="D270" t="str">
        <x:v>Revenue</x:v>
      </x:c>
      <x:c r="E270" t="str">
        <x:v>Sales &amp; Marketing</x:v>
      </x:c>
      <x:c r="F270" s="11" t="n">
        <x:v>13242</x:v>
      </x:c>
      <x:c r="G270" s="11" t="n">
        <x:v>12659.64</x:v>
      </x:c>
      <x:c r="H270" t="str">
        <x:v>finance_2026_03.csv</x:v>
      </x:c>
    </x:row>
    <x:row r="271">
      <x:c r="A271" t="str">
        <x:v>TXN-00268</x:v>
      </x:c>
      <x:c r="B271" s="10" t="n">
        <x:v>46097</x:v>
      </x:c>
      <x:c r="C271" t="str">
        <x:v>2026-03</x:v>
      </x:c>
      <x:c r="D271" t="str">
        <x:v>Revenue</x:v>
      </x:c>
      <x:c r="E271" t="str">
        <x:v>General &amp; Admin</x:v>
      </x:c>
      <x:c r="F271" s="11" t="n">
        <x:v>14270</x:v>
      </x:c>
      <x:c r="G271" s="11" t="n">
        <x:v>13170.46</x:v>
      </x:c>
      <x:c r="H271" t="str">
        <x:v>finance_2026_03.csv</x:v>
      </x:c>
    </x:row>
    <x:row r="272">
      <x:c r="A272" t="str">
        <x:v>TXN-00269</x:v>
      </x:c>
      <x:c r="B272" s="10" t="n">
        <x:v>46107</x:v>
      </x:c>
      <x:c r="C272" t="str">
        <x:v>2026-03</x:v>
      </x:c>
      <x:c r="D272" t="str">
        <x:v>Revenue</x:v>
      </x:c>
      <x:c r="E272" t="str">
        <x:v>Sales &amp; Marketing</x:v>
      </x:c>
      <x:c r="F272" s="11" t="n">
        <x:v>16314</x:v>
      </x:c>
      <x:c r="G272" s="11" t="n">
        <x:v>16672.09</x:v>
      </x:c>
      <x:c r="H272" t="str">
        <x:v>finance_2026_03.csv</x:v>
      </x:c>
    </x:row>
    <x:row r="273">
      <x:c r="A273" t="str">
        <x:v>TXN-00270</x:v>
      </x:c>
      <x:c r="B273" s="10" t="n">
        <x:v>46102</x:v>
      </x:c>
      <x:c r="C273" t="str">
        <x:v>2026-03</x:v>
      </x:c>
      <x:c r="D273" t="str">
        <x:v>Revenue</x:v>
      </x:c>
      <x:c r="E273" t="str">
        <x:v>Operations</x:v>
      </x:c>
      <x:c r="F273" s="11" t="n">
        <x:v>19211</x:v>
      </x:c>
      <x:c r="G273" s="11" t="n">
        <x:v>17744.66</x:v>
      </x:c>
      <x:c r="H273" t="str">
        <x:v>finance_2026_03.csv</x:v>
      </x:c>
    </x:row>
    <x:row r="274">
      <x:c r="A274" t="str">
        <x:v>TXN-00271</x:v>
      </x:c>
      <x:c r="B274" s="10" t="n">
        <x:v>46082</x:v>
      </x:c>
      <x:c r="C274" t="str">
        <x:v>2026-03</x:v>
      </x:c>
      <x:c r="D274" t="str">
        <x:v>Revenue</x:v>
      </x:c>
      <x:c r="E274" t="str">
        <x:v>Sales &amp; Marketing</x:v>
      </x:c>
      <x:c r="F274" s="11" t="n">
        <x:v>9663</x:v>
      </x:c>
      <x:c r="G274" s="11" t="n">
        <x:v>8824.9</x:v>
      </x:c>
      <x:c r="H274" t="str">
        <x:v>finance_2026_03.csv</x:v>
      </x:c>
    </x:row>
    <x:row r="275">
      <x:c r="A275" t="str">
        <x:v>TXN-00272</x:v>
      </x:c>
      <x:c r="B275" s="10" t="n">
        <x:v>46104</x:v>
      </x:c>
      <x:c r="C275" t="str">
        <x:v>2026-03</x:v>
      </x:c>
      <x:c r="D275" t="str">
        <x:v>Revenue</x:v>
      </x:c>
      <x:c r="E275" t="str">
        <x:v>Technology</x:v>
      </x:c>
      <x:c r="F275" s="11" t="n">
        <x:v>24851</x:v>
      </x:c>
      <x:c r="G275" s="11" t="n">
        <x:v>25031.17</x:v>
      </x:c>
      <x:c r="H275" t="str">
        <x:v>finance_2026_03.csv</x:v>
      </x:c>
    </x:row>
    <x:row r="276">
      <x:c r="A276" t="str">
        <x:v>TXN-00273</x:v>
      </x:c>
      <x:c r="B276" s="10" t="n">
        <x:v>46082</x:v>
      </x:c>
      <x:c r="C276" t="str">
        <x:v>2026-03</x:v>
      </x:c>
      <x:c r="D276" t="str">
        <x:v>Revenue</x:v>
      </x:c>
      <x:c r="E276" t="str">
        <x:v>Technology</x:v>
      </x:c>
      <x:c r="F276" s="11" t="n">
        <x:v>15723</x:v>
      </x:c>
      <x:c r="G276" s="11" t="n">
        <x:v>14766.13</x:v>
      </x:c>
      <x:c r="H276" t="str">
        <x:v>finance_2026_03.csv</x:v>
      </x:c>
    </x:row>
    <x:row r="277">
      <x:c r="A277" t="str">
        <x:v>TXN-00274</x:v>
      </x:c>
      <x:c r="B277" s="10" t="n">
        <x:v>46082</x:v>
      </x:c>
      <x:c r="C277" t="str">
        <x:v>2026-03</x:v>
      </x:c>
      <x:c r="D277" t="str">
        <x:v>Revenue</x:v>
      </x:c>
      <x:c r="E277" t="str">
        <x:v>Sales &amp; Marketing</x:v>
      </x:c>
      <x:c r="F277" s="11" t="n">
        <x:v>14139</x:v>
      </x:c>
      <x:c r="G277" s="11" t="n">
        <x:v>13721.85</x:v>
      </x:c>
      <x:c r="H277" t="str">
        <x:v>finance_2026_03.csv</x:v>
      </x:c>
    </x:row>
    <x:row r="278">
      <x:c r="A278" t="str">
        <x:v>TXN-00275</x:v>
      </x:c>
      <x:c r="B278" s="10" t="n">
        <x:v>46109</x:v>
      </x:c>
      <x:c r="C278" t="str">
        <x:v>2026-03</x:v>
      </x:c>
      <x:c r="D278" t="str">
        <x:v>Revenue</x:v>
      </x:c>
      <x:c r="E278" t="str">
        <x:v>General &amp; Admin</x:v>
      </x:c>
      <x:c r="F278" s="11" t="n">
        <x:v>16695</x:v>
      </x:c>
      <x:c r="G278" s="11" t="n">
        <x:v>16176.7</x:v>
      </x:c>
      <x:c r="H278" t="str">
        <x:v>finance_2026_03.csv</x:v>
      </x:c>
    </x:row>
    <x:row r="279">
      <x:c r="A279" t="str">
        <x:v>TXN-00276</x:v>
      </x:c>
      <x:c r="B279" s="10" t="n">
        <x:v>46097</x:v>
      </x:c>
      <x:c r="C279" t="str">
        <x:v>2026-03</x:v>
      </x:c>
      <x:c r="D279" t="str">
        <x:v>Revenue</x:v>
      </x:c>
      <x:c r="E279" t="str">
        <x:v>Technology</x:v>
      </x:c>
      <x:c r="F279" s="11" t="n">
        <x:v>18927</x:v>
      </x:c>
      <x:c r="G279" s="11" t="n">
        <x:v>18522.74</x:v>
      </x:c>
      <x:c r="H279" t="str">
        <x:v>finance_2026_03.csv</x:v>
      </x:c>
    </x:row>
    <x:row r="280">
      <x:c r="A280" t="str">
        <x:v>TXN-00277</x:v>
      </x:c>
      <x:c r="B280" s="10" t="n">
        <x:v>46107</x:v>
      </x:c>
      <x:c r="C280" t="str">
        <x:v>2026-03</x:v>
      </x:c>
      <x:c r="D280" t="str">
        <x:v>Revenue</x:v>
      </x:c>
      <x:c r="E280" t="str">
        <x:v>General &amp; Admin</x:v>
      </x:c>
      <x:c r="F280" s="11" t="n">
        <x:v>19690</x:v>
      </x:c>
      <x:c r="G280" s="11" t="n">
        <x:v>18130.36</x:v>
      </x:c>
      <x:c r="H280" t="str">
        <x:v>finance_2026_03.csv</x:v>
      </x:c>
    </x:row>
    <x:row r="281">
      <x:c r="A281" t="str">
        <x:v>TXN-00278</x:v>
      </x:c>
      <x:c r="B281" s="10" t="n">
        <x:v>46104</x:v>
      </x:c>
      <x:c r="C281" t="str">
        <x:v>2026-03</x:v>
      </x:c>
      <x:c r="D281" t="str">
        <x:v>Revenue</x:v>
      </x:c>
      <x:c r="E281" t="str">
        <x:v>Technology</x:v>
      </x:c>
      <x:c r="F281" s="11" t="n">
        <x:v>16862</x:v>
      </x:c>
      <x:c r="G281" s="11" t="n">
        <x:v>17302.34</x:v>
      </x:c>
      <x:c r="H281" t="str">
        <x:v>finance_2026_03.csv</x:v>
      </x:c>
    </x:row>
    <x:row r="282">
      <x:c r="A282" t="str">
        <x:v>TXN-00279</x:v>
      </x:c>
      <x:c r="B282" s="10" t="n">
        <x:v>46095</x:v>
      </x:c>
      <x:c r="C282" t="str">
        <x:v>2026-03</x:v>
      </x:c>
      <x:c r="D282" t="str">
        <x:v>Revenue</x:v>
      </x:c>
      <x:c r="E282" t="str">
        <x:v>People</x:v>
      </x:c>
      <x:c r="F282" s="11" t="n">
        <x:v>12517</x:v>
      </x:c>
      <x:c r="G282" s="11" t="n">
        <x:v>12452.64</x:v>
      </x:c>
      <x:c r="H282" t="str">
        <x:v>finance_2026_03.csv</x:v>
      </x:c>
    </x:row>
    <x:row r="283">
      <x:c r="A283" t="str">
        <x:v>TXN-00280</x:v>
      </x:c>
      <x:c r="B283" s="10" t="n">
        <x:v>46091</x:v>
      </x:c>
      <x:c r="C283" t="str">
        <x:v>2026-03</x:v>
      </x:c>
      <x:c r="D283" t="str">
        <x:v>Revenue</x:v>
      </x:c>
      <x:c r="E283" t="str">
        <x:v>Operations</x:v>
      </x:c>
      <x:c r="F283" s="11" t="n">
        <x:v>13108</x:v>
      </x:c>
      <x:c r="G283" s="11" t="n">
        <x:v>12453.17</x:v>
      </x:c>
      <x:c r="H283" t="str">
        <x:v>finance_2026_03.csv</x:v>
      </x:c>
    </x:row>
    <x:row r="284">
      <x:c r="A284" t="str">
        <x:v>TXN-00281</x:v>
      </x:c>
      <x:c r="B284" s="10" t="n">
        <x:v>46083</x:v>
      </x:c>
      <x:c r="C284" t="str">
        <x:v>2026-03</x:v>
      </x:c>
      <x:c r="D284" t="str">
        <x:v>Revenue</x:v>
      </x:c>
      <x:c r="E284" t="str">
        <x:v>Operations</x:v>
      </x:c>
      <x:c r="F284" s="11" t="n">
        <x:v>23044</x:v>
      </x:c>
      <x:c r="G284" s="11" t="n">
        <x:v>22377.11</x:v>
      </x:c>
      <x:c r="H284" t="str">
        <x:v>finance_2026_03.csv</x:v>
      </x:c>
    </x:row>
    <x:row r="285">
      <x:c r="A285" t="str">
        <x:v>TXN-00282</x:v>
      </x:c>
      <x:c r="B285" s="10" t="n">
        <x:v>46082</x:v>
      </x:c>
      <x:c r="C285" t="str">
        <x:v>2026-03</x:v>
      </x:c>
      <x:c r="D285" t="str">
        <x:v>Revenue</x:v>
      </x:c>
      <x:c r="E285" t="str">
        <x:v>Operations</x:v>
      </x:c>
      <x:c r="F285" s="11" t="n">
        <x:v>12304</x:v>
      </x:c>
      <x:c r="G285" s="11" t="n">
        <x:v>12246.71</x:v>
      </x:c>
      <x:c r="H285" t="str">
        <x:v>finance_2026_03.csv</x:v>
      </x:c>
    </x:row>
    <x:row r="286">
      <x:c r="A286" t="str">
        <x:v>TXN-00283</x:v>
      </x:c>
      <x:c r="B286" s="10" t="n">
        <x:v>46107</x:v>
      </x:c>
      <x:c r="C286" t="str">
        <x:v>2026-03</x:v>
      </x:c>
      <x:c r="D286" t="str">
        <x:v>Revenue</x:v>
      </x:c>
      <x:c r="E286" t="str">
        <x:v>General &amp; Admin</x:v>
      </x:c>
      <x:c r="F286" s="11" t="n">
        <x:v>17410</x:v>
      </x:c>
      <x:c r="G286" s="11" t="n">
        <x:v>16988.13</x:v>
      </x:c>
      <x:c r="H286" t="str">
        <x:v>finance_2026_03.csv</x:v>
      </x:c>
    </x:row>
    <x:row r="287">
      <x:c r="A287" t="str">
        <x:v>TXN-00284</x:v>
      </x:c>
      <x:c r="B287" s="10" t="n">
        <x:v>46082</x:v>
      </x:c>
      <x:c r="C287" t="str">
        <x:v>2026-03</x:v>
      </x:c>
      <x:c r="D287" t="str">
        <x:v>Revenue</x:v>
      </x:c>
      <x:c r="E287" t="str">
        <x:v>Sales &amp; Marketing</x:v>
      </x:c>
      <x:c r="F287" s="11" t="n">
        <x:v>13145</x:v>
      </x:c>
      <x:c r="G287" s="11" t="n">
        <x:v>13295.21</x:v>
      </x:c>
      <x:c r="H287" t="str">
        <x:v>finance_2026_03.csv</x:v>
      </x:c>
    </x:row>
    <x:row r="288">
      <x:c r="A288" t="str">
        <x:v>TXN-00285</x:v>
      </x:c>
      <x:c r="B288" s="10" t="n">
        <x:v>46092</x:v>
      </x:c>
      <x:c r="C288" t="str">
        <x:v>2026-03</x:v>
      </x:c>
      <x:c r="D288" t="str">
        <x:v>Revenue</x:v>
      </x:c>
      <x:c r="E288" t="str">
        <x:v>General &amp; Admin</x:v>
      </x:c>
      <x:c r="F288" s="11" t="n">
        <x:v>15442</x:v>
      </x:c>
      <x:c r="G288" s="11" t="n">
        <x:v>14883.6</x:v>
      </x:c>
      <x:c r="H288" t="str">
        <x:v>finance_2026_03.csv</x:v>
      </x:c>
    </x:row>
    <x:row r="289">
      <x:c r="A289" t="str">
        <x:v>TXN-00286</x:v>
      </x:c>
      <x:c r="B289" s="10" t="n">
        <x:v>46085</x:v>
      </x:c>
      <x:c r="C289" t="str">
        <x:v>2026-03</x:v>
      </x:c>
      <x:c r="D289" t="str">
        <x:v>Cost</x:v>
      </x:c>
      <x:c r="E289" t="str">
        <x:v>Sales &amp; Marketing</x:v>
      </x:c>
      <x:c r="F289" s="11" t="n">
        <x:v>-14980</x:v>
      </x:c>
      <x:c r="G289" s="11" t="n">
        <x:v>-14075.57</x:v>
      </x:c>
      <x:c r="H289" t="str">
        <x:v>finance_2026_03.csv</x:v>
      </x:c>
    </x:row>
    <x:row r="290">
      <x:c r="A290" t="str">
        <x:v>TXN-00287</x:v>
      </x:c>
      <x:c r="B290" s="10" t="n">
        <x:v>46088</x:v>
      </x:c>
      <x:c r="C290" t="str">
        <x:v>2026-03</x:v>
      </x:c>
      <x:c r="D290" t="str">
        <x:v>Cost</x:v>
      </x:c>
      <x:c r="E290" t="str">
        <x:v>Sales &amp; Marketing</x:v>
      </x:c>
      <x:c r="F290" s="11" t="n">
        <x:v>-8513</x:v>
      </x:c>
      <x:c r="G290" s="11" t="n">
        <x:v>-8159.87</x:v>
      </x:c>
      <x:c r="H290" t="str">
        <x:v>finance_2026_03.csv</x:v>
      </x:c>
    </x:row>
    <x:row r="291">
      <x:c r="A291" t="str">
        <x:v>TXN-00288</x:v>
      </x:c>
      <x:c r="B291" s="10" t="n">
        <x:v>46107</x:v>
      </x:c>
      <x:c r="C291" t="str">
        <x:v>2026-03</x:v>
      </x:c>
      <x:c r="D291" t="str">
        <x:v>Cost</x:v>
      </x:c>
      <x:c r="E291" t="str">
        <x:v>General &amp; Admin</x:v>
      </x:c>
      <x:c r="F291" s="11" t="n">
        <x:v>-13455</x:v>
      </x:c>
      <x:c r="G291" s="11" t="n">
        <x:v>-13835.59</x:v>
      </x:c>
      <x:c r="H291" t="str">
        <x:v>finance_2026_03.csv</x:v>
      </x:c>
    </x:row>
    <x:row r="292">
      <x:c r="A292" t="str">
        <x:v>TXN-00289</x:v>
      </x:c>
      <x:c r="B292" s="10" t="n">
        <x:v>46096</x:v>
      </x:c>
      <x:c r="C292" t="str">
        <x:v>2026-03</x:v>
      </x:c>
      <x:c r="D292" t="str">
        <x:v>Cost</x:v>
      </x:c>
      <x:c r="E292" t="str">
        <x:v>General &amp; Admin</x:v>
      </x:c>
      <x:c r="F292" s="11" t="n">
        <x:v>-3819</x:v>
      </x:c>
      <x:c r="G292" s="11" t="n">
        <x:v>-3925.63</x:v>
      </x:c>
      <x:c r="H292" t="str">
        <x:v>finance_2026_03.csv</x:v>
      </x:c>
    </x:row>
    <x:row r="293">
      <x:c r="A293" t="str">
        <x:v>TXN-00290</x:v>
      </x:c>
      <x:c r="B293" s="10" t="n">
        <x:v>46084</x:v>
      </x:c>
      <x:c r="C293" t="str">
        <x:v>2026-03</x:v>
      </x:c>
      <x:c r="D293" t="str">
        <x:v>Cost</x:v>
      </x:c>
      <x:c r="E293" t="str">
        <x:v>General &amp; Admin</x:v>
      </x:c>
      <x:c r="F293" s="11" t="n">
        <x:v>-8046</x:v>
      </x:c>
      <x:c r="G293" s="11" t="n">
        <x:v>-7802.5</x:v>
      </x:c>
      <x:c r="H293" t="str">
        <x:v>finance_2026_03.csv</x:v>
      </x:c>
    </x:row>
    <x:row r="294">
      <x:c r="A294" t="str">
        <x:v>TXN-00291</x:v>
      </x:c>
      <x:c r="B294" s="10" t="n">
        <x:v>46109</x:v>
      </x:c>
      <x:c r="C294" t="str">
        <x:v>2026-03</x:v>
      </x:c>
      <x:c r="D294" t="str">
        <x:v>Cost</x:v>
      </x:c>
      <x:c r="E294" t="str">
        <x:v>People</x:v>
      </x:c>
      <x:c r="F294" s="11" t="n">
        <x:v>-7401</x:v>
      </x:c>
      <x:c r="G294" s="11" t="n">
        <x:v>-7981.77</x:v>
      </x:c>
      <x:c r="H294" t="str">
        <x:v>finance_2026_03.csv</x:v>
      </x:c>
    </x:row>
    <x:row r="295">
      <x:c r="A295" t="str">
        <x:v>TXN-00292</x:v>
      </x:c>
      <x:c r="B295" s="10" t="n">
        <x:v>46083</x:v>
      </x:c>
      <x:c r="C295" t="str">
        <x:v>2026-03</x:v>
      </x:c>
      <x:c r="D295" t="str">
        <x:v>Cost</x:v>
      </x:c>
      <x:c r="E295" t="str">
        <x:v>Operations</x:v>
      </x:c>
      <x:c r="F295" s="11" t="n">
        <x:v>-6484</x:v>
      </x:c>
      <x:c r="G295" s="11" t="n">
        <x:v>-6290.59</x:v>
      </x:c>
      <x:c r="H295" t="str">
        <x:v>finance_2026_03.csv</x:v>
      </x:c>
    </x:row>
    <x:row r="296">
      <x:c r="A296" t="str">
        <x:v>TXN-00293</x:v>
      </x:c>
      <x:c r="B296" s="10" t="n">
        <x:v>46096</x:v>
      </x:c>
      <x:c r="C296" t="str">
        <x:v>2026-03</x:v>
      </x:c>
      <x:c r="D296" t="str">
        <x:v>Cost</x:v>
      </x:c>
      <x:c r="E296" t="str">
        <x:v>General &amp; Admin</x:v>
      </x:c>
      <x:c r="F296" s="11" t="n">
        <x:v>-4238</x:v>
      </x:c>
      <x:c r="G296" s="11" t="n">
        <x:v>-4538.96</x:v>
      </x:c>
      <x:c r="H296" t="str">
        <x:v>finance_2026_03.csv</x:v>
      </x:c>
    </x:row>
    <x:row r="297">
      <x:c r="A297" t="str">
        <x:v>TXN-00294</x:v>
      </x:c>
      <x:c r="B297" s="10" t="n">
        <x:v>46106</x:v>
      </x:c>
      <x:c r="C297" t="str">
        <x:v>2026-03</x:v>
      </x:c>
      <x:c r="D297" t="str">
        <x:v>Cost</x:v>
      </x:c>
      <x:c r="E297" t="str">
        <x:v>General &amp; Admin</x:v>
      </x:c>
      <x:c r="F297" s="11" t="n">
        <x:v>-10606</x:v>
      </x:c>
      <x:c r="G297" s="11" t="n">
        <x:v>-9776.29</x:v>
      </x:c>
      <x:c r="H297" t="str">
        <x:v>finance_2026_03.csv</x:v>
      </x:c>
    </x:row>
    <x:row r="298">
      <x:c r="A298" t="str">
        <x:v>TXN-00295</x:v>
      </x:c>
      <x:c r="B298" s="10" t="n">
        <x:v>46101</x:v>
      </x:c>
      <x:c r="C298" t="str">
        <x:v>2026-03</x:v>
      </x:c>
      <x:c r="D298" t="str">
        <x:v>Cost</x:v>
      </x:c>
      <x:c r="E298" t="str">
        <x:v>People</x:v>
      </x:c>
      <x:c r="F298" s="11" t="n">
        <x:v>-3198</x:v>
      </x:c>
      <x:c r="G298" s="11" t="n">
        <x:v>-2944.58</x:v>
      </x:c>
      <x:c r="H298" t="str">
        <x:v>finance_2026_03.csv</x:v>
      </x:c>
    </x:row>
    <x:row r="299">
      <x:c r="A299" t="str">
        <x:v>TXN-00296</x:v>
      </x:c>
      <x:c r="B299" s="10" t="n">
        <x:v>46104</x:v>
      </x:c>
      <x:c r="C299" t="str">
        <x:v>2026-03</x:v>
      </x:c>
      <x:c r="D299" t="str">
        <x:v>Cost</x:v>
      </x:c>
      <x:c r="E299" t="str">
        <x:v>Operations</x:v>
      </x:c>
      <x:c r="F299" s="11" t="n">
        <x:v>-7755</x:v>
      </x:c>
      <x:c r="G299" s="11" t="n">
        <x:v>-7191.82</x:v>
      </x:c>
      <x:c r="H299" t="str">
        <x:v>finance_2026_03.csv</x:v>
      </x:c>
    </x:row>
    <x:row r="300">
      <x:c r="A300" t="str">
        <x:v>TXN-00297</x:v>
      </x:c>
      <x:c r="B300" s="10" t="n">
        <x:v>46102</x:v>
      </x:c>
      <x:c r="C300" t="str">
        <x:v>2026-03</x:v>
      </x:c>
      <x:c r="D300" t="str">
        <x:v>Cost</x:v>
      </x:c>
      <x:c r="E300" t="str">
        <x:v>People</x:v>
      </x:c>
      <x:c r="F300" s="11" t="n">
        <x:v>-4051</x:v>
      </x:c>
      <x:c r="G300" s="11" t="n">
        <x:v>-4059.15</x:v>
      </x:c>
      <x:c r="H300" t="str">
        <x:v>finance_2026_03.csv</x:v>
      </x:c>
    </x:row>
    <x:row r="301">
      <x:c r="A301" t="str">
        <x:v>TXN-00298</x:v>
      </x:c>
      <x:c r="B301" s="10" t="n">
        <x:v>46089</x:v>
      </x:c>
      <x:c r="C301" t="str">
        <x:v>2026-03</x:v>
      </x:c>
      <x:c r="D301" t="str">
        <x:v>Cost</x:v>
      </x:c>
      <x:c r="E301" t="str">
        <x:v>People</x:v>
      </x:c>
      <x:c r="F301" s="11" t="n">
        <x:v>-8707</x:v>
      </x:c>
      <x:c r="G301" s="11" t="n">
        <x:v>-8342.46</x:v>
      </x:c>
      <x:c r="H301" t="str">
        <x:v>finance_2026_03.csv</x:v>
      </x:c>
    </x:row>
    <x:row r="302">
      <x:c r="A302" t="str">
        <x:v>TXN-00299</x:v>
      </x:c>
      <x:c r="B302" s="10" t="n">
        <x:v>46088</x:v>
      </x:c>
      <x:c r="C302" t="str">
        <x:v>2026-03</x:v>
      </x:c>
      <x:c r="D302" t="str">
        <x:v>Cost</x:v>
      </x:c>
      <x:c r="E302" t="str">
        <x:v>Operations</x:v>
      </x:c>
      <x:c r="F302" s="11" t="n">
        <x:v>-12140</x:v>
      </x:c>
      <x:c r="G302" s="11" t="n">
        <x:v>-12291.31</x:v>
      </x:c>
      <x:c r="H302" t="str">
        <x:v>finance_2026_03.csv</x:v>
      </x:c>
    </x:row>
    <x:row r="303">
      <x:c r="A303" t="str">
        <x:v>TXN-00300</x:v>
      </x:c>
      <x:c r="B303" s="10" t="n">
        <x:v>46083</x:v>
      </x:c>
      <x:c r="C303" t="str">
        <x:v>2026-03</x:v>
      </x:c>
      <x:c r="D303" t="str">
        <x:v>Cost</x:v>
      </x:c>
      <x:c r="E303" t="str">
        <x:v>Technology</x:v>
      </x:c>
      <x:c r="F303" s="11" t="n">
        <x:v>-7373</x:v>
      </x:c>
      <x:c r="G303" s="11" t="n">
        <x:v>-7615.65</x:v>
      </x:c>
      <x:c r="H303" t="str">
        <x:v>finance_2026_03.csv</x:v>
      </x:c>
    </x:row>
    <x:row r="304">
      <x:c r="A304" t="str">
        <x:v>TXN-00301</x:v>
      </x:c>
      <x:c r="B304" s="10" t="n">
        <x:v>46100</x:v>
      </x:c>
      <x:c r="C304" t="str">
        <x:v>2026-03</x:v>
      </x:c>
      <x:c r="D304" t="str">
        <x:v>Cost</x:v>
      </x:c>
      <x:c r="E304" t="str">
        <x:v>Operations</x:v>
      </x:c>
      <x:c r="F304" s="11" t="n">
        <x:v>-10870</x:v>
      </x:c>
      <x:c r="G304" s="11" t="n">
        <x:v>-10624.78</x:v>
      </x:c>
      <x:c r="H304" t="str">
        <x:v>finance_2026_03.csv</x:v>
      </x:c>
    </x:row>
    <x:row r="305">
      <x:c r="A305" t="str">
        <x:v>TXN-00302</x:v>
      </x:c>
      <x:c r="B305" s="10" t="n">
        <x:v>46084</x:v>
      </x:c>
      <x:c r="C305" t="str">
        <x:v>2026-03</x:v>
      </x:c>
      <x:c r="D305" t="str">
        <x:v>Cost</x:v>
      </x:c>
      <x:c r="E305" t="str">
        <x:v>Sales &amp; Marketing</x:v>
      </x:c>
      <x:c r="F305" s="11" t="n">
        <x:v>-3560</x:v>
      </x:c>
      <x:c r="G305" s="11" t="n">
        <x:v>-3726.35</x:v>
      </x:c>
      <x:c r="H305" t="str">
        <x:v>finance_2026_03.csv</x:v>
      </x:c>
    </x:row>
    <x:row r="306">
      <x:c r="A306" t="str">
        <x:v>TXN-00303</x:v>
      </x:c>
      <x:c r="B306" s="10" t="n">
        <x:v>46086</x:v>
      </x:c>
      <x:c r="C306" t="str">
        <x:v>2026-03</x:v>
      </x:c>
      <x:c r="D306" t="str">
        <x:v>Cost</x:v>
      </x:c>
      <x:c r="E306" t="str">
        <x:v>Sales &amp; Marketing</x:v>
      </x:c>
      <x:c r="F306" s="11" t="n">
        <x:v>-5660</x:v>
      </x:c>
      <x:c r="G306" s="11" t="n">
        <x:v>-5217.18</x:v>
      </x:c>
      <x:c r="H306" t="str">
        <x:v>finance_2026_03.csv</x:v>
      </x:c>
    </x:row>
    <x:row r="307">
      <x:c r="A307" t="str">
        <x:v>TXN-00304</x:v>
      </x:c>
      <x:c r="B307" s="10" t="n">
        <x:v>46091</x:v>
      </x:c>
      <x:c r="C307" t="str">
        <x:v>2026-03</x:v>
      </x:c>
      <x:c r="D307" t="str">
        <x:v>Cost</x:v>
      </x:c>
      <x:c r="E307" t="str">
        <x:v>General &amp; Admin</x:v>
      </x:c>
      <x:c r="F307" s="11" t="n">
        <x:v>-8052</x:v>
      </x:c>
      <x:c r="G307" s="11" t="n">
        <x:v>-8674.21</x:v>
      </x:c>
      <x:c r="H307" t="str">
        <x:v>finance_2026_03.csv</x:v>
      </x:c>
    </x:row>
    <x:row r="308">
      <x:c r="A308" t="str">
        <x:v>TXN-00305</x:v>
      </x:c>
      <x:c r="B308" s="10" t="n">
        <x:v>46104</x:v>
      </x:c>
      <x:c r="C308" t="str">
        <x:v>2026-03</x:v>
      </x:c>
      <x:c r="D308" t="str">
        <x:v>Cost</x:v>
      </x:c>
      <x:c r="E308" t="str">
        <x:v>People</x:v>
      </x:c>
      <x:c r="F308" s="11" t="n">
        <x:v>-4005</x:v>
      </x:c>
      <x:c r="G308" s="11" t="n">
        <x:v>-3836.46</x:v>
      </x:c>
      <x:c r="H308" t="str">
        <x:v>finance_2026_03.csv</x:v>
      </x:c>
    </x:row>
    <x:row r="309">
      <x:c r="A309" t="str">
        <x:v>TXN-00306</x:v>
      </x:c>
      <x:c r="B309" s="10" t="n">
        <x:v>46085</x:v>
      </x:c>
      <x:c r="C309" t="str">
        <x:v>2026-03</x:v>
      </x:c>
      <x:c r="D309" t="str">
        <x:v>Cost</x:v>
      </x:c>
      <x:c r="E309" t="str">
        <x:v>Operations</x:v>
      </x:c>
      <x:c r="F309" s="11" t="n">
        <x:v>-11129</x:v>
      </x:c>
      <x:c r="G309" s="11" t="n">
        <x:v>-10647.16</x:v>
      </x:c>
      <x:c r="H309" t="str">
        <x:v>finance_2026_03.csv</x:v>
      </x:c>
    </x:row>
    <x:row r="310">
      <x:c r="A310" t="str">
        <x:v>TXN-00307</x:v>
      </x:c>
      <x:c r="B310" s="10" t="n">
        <x:v>46107</x:v>
      </x:c>
      <x:c r="C310" t="str">
        <x:v>2026-03</x:v>
      </x:c>
      <x:c r="D310" t="str">
        <x:v>Cost</x:v>
      </x:c>
      <x:c r="E310" t="str">
        <x:v>Technology</x:v>
      </x:c>
      <x:c r="F310" s="11" t="n">
        <x:v>-3394</x:v>
      </x:c>
      <x:c r="G310" s="11" t="n">
        <x:v>-3316.95</x:v>
      </x:c>
      <x:c r="H310" t="str">
        <x:v>finance_2026_03.csv</x:v>
      </x:c>
    </x:row>
    <x:row r="311">
      <x:c r="A311" t="str">
        <x:v>TXN-00308</x:v>
      </x:c>
      <x:c r="B311" s="10" t="n">
        <x:v>46103</x:v>
      </x:c>
      <x:c r="C311" t="str">
        <x:v>2026-03</x:v>
      </x:c>
      <x:c r="D311" t="str">
        <x:v>Cost</x:v>
      </x:c>
      <x:c r="E311" t="str">
        <x:v>Operations</x:v>
      </x:c>
      <x:c r="F311" s="11" t="n">
        <x:v>-12198</x:v>
      </x:c>
      <x:c r="G311" s="11" t="n">
        <x:v>-11412.64</x:v>
      </x:c>
      <x:c r="H311" t="str">
        <x:v>finance_2026_03.csv</x:v>
      </x:c>
    </x:row>
    <x:row r="312">
      <x:c r="A312" t="str">
        <x:v>TXN-00309</x:v>
      </x:c>
      <x:c r="B312" s="10" t="n">
        <x:v>46082</x:v>
      </x:c>
      <x:c r="C312" t="str">
        <x:v>2026-03</x:v>
      </x:c>
      <x:c r="D312" t="str">
        <x:v>Cost</x:v>
      </x:c>
      <x:c r="E312" t="str">
        <x:v>General &amp; Admin</x:v>
      </x:c>
      <x:c r="F312" s="11" t="n">
        <x:v>-6543</x:v>
      </x:c>
      <x:c r="G312" s="11" t="n">
        <x:v>-6443.26</x:v>
      </x:c>
      <x:c r="H312" t="str">
        <x:v>finance_2026_03.csv</x:v>
      </x:c>
    </x:row>
    <x:row r="313">
      <x:c r="A313" t="str">
        <x:v>TXN-00310</x:v>
      </x:c>
      <x:c r="B313" s="10" t="n">
        <x:v>46083</x:v>
      </x:c>
      <x:c r="C313" t="str">
        <x:v>2026-03</x:v>
      </x:c>
      <x:c r="D313" t="str">
        <x:v>Cost</x:v>
      </x:c>
      <x:c r="E313" t="str">
        <x:v>Technology</x:v>
      </x:c>
      <x:c r="F313" s="11" t="n">
        <x:v>-5107</x:v>
      </x:c>
      <x:c r="G313" s="11" t="n">
        <x:v>-5383.54</x:v>
      </x:c>
      <x:c r="H313" t="str">
        <x:v>finance_2026_03.csv</x:v>
      </x:c>
    </x:row>
    <x:row r="314">
      <x:c r="A314" t="str">
        <x:v>TXN-00311</x:v>
      </x:c>
      <x:c r="B314" s="10" t="n">
        <x:v>46092</x:v>
      </x:c>
      <x:c r="C314" t="str">
        <x:v>2026-03</x:v>
      </x:c>
      <x:c r="D314" t="str">
        <x:v>Cost</x:v>
      </x:c>
      <x:c r="E314" t="str">
        <x:v>People</x:v>
      </x:c>
      <x:c r="F314" s="11" t="n">
        <x:v>-8576</x:v>
      </x:c>
      <x:c r="G314" s="11" t="n">
        <x:v>-9145.85</x:v>
      </x:c>
      <x:c r="H314" t="str">
        <x:v>finance_2026_03.csv</x:v>
      </x:c>
    </x:row>
    <x:row r="315">
      <x:c r="A315" t="str">
        <x:v>TXN-00312</x:v>
      </x:c>
      <x:c r="B315" s="10" t="n">
        <x:v>46091</x:v>
      </x:c>
      <x:c r="C315" t="str">
        <x:v>2026-03</x:v>
      </x:c>
      <x:c r="D315" t="str">
        <x:v>Cost</x:v>
      </x:c>
      <x:c r="E315" t="str">
        <x:v>Operations</x:v>
      </x:c>
      <x:c r="F315" s="11" t="n">
        <x:v>-3426</x:v>
      </x:c>
      <x:c r="G315" s="11" t="n">
        <x:v>-3376.67</x:v>
      </x:c>
      <x:c r="H315" t="str">
        <x:v>finance_2026_03.csv</x:v>
      </x:c>
    </x:row>
    <x:row r="316">
      <x:c r="A316" t="str">
        <x:v>TXN-00313</x:v>
      </x:c>
      <x:c r="B316" s="10" t="n">
        <x:v>46101</x:v>
      </x:c>
      <x:c r="C316" t="str">
        <x:v>2026-03</x:v>
      </x:c>
      <x:c r="D316" t="str">
        <x:v>Cost</x:v>
      </x:c>
      <x:c r="E316" t="str">
        <x:v>General &amp; Admin</x:v>
      </x:c>
      <x:c r="F316" s="11" t="n">
        <x:v>-5228</x:v>
      </x:c>
      <x:c r="G316" s="11" t="n">
        <x:v>-5079.21</x:v>
      </x:c>
      <x:c r="H316" t="str">
        <x:v>finance_2026_03.csv</x:v>
      </x:c>
    </x:row>
    <x:row r="317">
      <x:c r="A317" t="str">
        <x:v>TXN-00314</x:v>
      </x:c>
      <x:c r="B317" s="10" t="n">
        <x:v>46090</x:v>
      </x:c>
      <x:c r="C317" t="str">
        <x:v>2026-03</x:v>
      </x:c>
      <x:c r="D317" t="str">
        <x:v>Cost</x:v>
      </x:c>
      <x:c r="E317" t="str">
        <x:v>People</x:v>
      </x:c>
      <x:c r="F317" s="11" t="n">
        <x:v>-5804</x:v>
      </x:c>
      <x:c r="G317" s="11" t="n">
        <x:v>-6194.5</x:v>
      </x:c>
      <x:c r="H317" t="str">
        <x:v>finance_2026_03.csv</x:v>
      </x:c>
    </x:row>
    <x:row r="318">
      <x:c r="A318" t="str">
        <x:v>TXN-00315</x:v>
      </x:c>
      <x:c r="B318" s="10" t="n">
        <x:v>46098</x:v>
      </x:c>
      <x:c r="C318" t="str">
        <x:v>2026-03</x:v>
      </x:c>
      <x:c r="D318" t="str">
        <x:v>Cost</x:v>
      </x:c>
      <x:c r="E318" t="str">
        <x:v>People</x:v>
      </x:c>
      <x:c r="F318" s="11" t="n">
        <x:v>-9959</x:v>
      </x:c>
      <x:c r="G318" s="11" t="n">
        <x:v>-9694.68</x:v>
      </x:c>
      <x:c r="H318" t="str">
        <x:v>finance_2026_03.csv</x:v>
      </x:c>
    </x:row>
    <x:row r="319">
      <x:c r="A319" t="str">
        <x:v>TXN-00316</x:v>
      </x:c>
      <x:c r="B319" s="10" t="n">
        <x:v>46090</x:v>
      </x:c>
      <x:c r="C319" t="str">
        <x:v>2026-03</x:v>
      </x:c>
      <x:c r="D319" t="str">
        <x:v>Cost</x:v>
      </x:c>
      <x:c r="E319" t="str">
        <x:v>Operations</x:v>
      </x:c>
      <x:c r="F319" s="11" t="n">
        <x:v>-4583</x:v>
      </x:c>
      <x:c r="G319" s="11" t="n">
        <x:v>-4352.64</x:v>
      </x:c>
      <x:c r="H319" t="str">
        <x:v>finance_2026_03.csv</x:v>
      </x:c>
    </x:row>
    <x:row r="320">
      <x:c r="A320" t="str">
        <x:v>TXN-00317</x:v>
      </x:c>
      <x:c r="B320" s="10" t="n">
        <x:v>46101</x:v>
      </x:c>
      <x:c r="C320" t="str">
        <x:v>2026-03</x:v>
      </x:c>
      <x:c r="D320" t="str">
        <x:v>Cost</x:v>
      </x:c>
      <x:c r="E320" t="str">
        <x:v>Sales &amp; Marketing</x:v>
      </x:c>
      <x:c r="F320" s="11" t="n">
        <x:v>-13648</x:v>
      </x:c>
      <x:c r="G320" s="11" t="n">
        <x:v>-13554.32</x:v>
      </x:c>
      <x:c r="H320" t="str">
        <x:v>finance_2026_03.csv</x:v>
      </x:c>
    </x:row>
    <x:row r="321">
      <x:c r="A321" t="str">
        <x:v>TXN-00318</x:v>
      </x:c>
      <x:c r="B321" s="10" t="n">
        <x:v>46101</x:v>
      </x:c>
      <x:c r="C321" t="str">
        <x:v>2026-03</x:v>
      </x:c>
      <x:c r="D321" t="str">
        <x:v>Cost</x:v>
      </x:c>
      <x:c r="E321" t="str">
        <x:v>Sales &amp; Marketing</x:v>
      </x:c>
      <x:c r="F321" s="11" t="n">
        <x:v>-3914</x:v>
      </x:c>
      <x:c r="G321" s="11" t="n">
        <x:v>-3847.46</x:v>
      </x:c>
      <x:c r="H321" t="str">
        <x:v>finance_2026_03.csv</x:v>
      </x:c>
    </x:row>
    <x:row r="322">
      <x:c r="A322" t="str">
        <x:v>TXN-00319</x:v>
      </x:c>
      <x:c r="B322" s="10" t="n">
        <x:v>46105</x:v>
      </x:c>
      <x:c r="C322" t="str">
        <x:v>2026-03</x:v>
      </x:c>
      <x:c r="D322" t="str">
        <x:v>Cost</x:v>
      </x:c>
      <x:c r="E322" t="str">
        <x:v>Sales &amp; Marketing</x:v>
      </x:c>
      <x:c r="F322" s="11" t="n">
        <x:v>-3780</x:v>
      </x:c>
      <x:c r="G322" s="11" t="n">
        <x:v>-3631.3</x:v>
      </x:c>
      <x:c r="H322" t="str">
        <x:v>finance_2026_03.csv</x:v>
      </x:c>
    </x:row>
    <x:row r="323">
      <x:c r="A323" t="str">
        <x:v>TXN-00320</x:v>
      </x:c>
      <x:c r="B323" s="10" t="n">
        <x:v>46086</x:v>
      </x:c>
      <x:c r="C323" t="str">
        <x:v>2026-03</x:v>
      </x:c>
      <x:c r="D323" t="str">
        <x:v>Cost</x:v>
      </x:c>
      <x:c r="E323" t="str">
        <x:v>General &amp; Admin</x:v>
      </x:c>
      <x:c r="F323" s="11" t="n">
        <x:v>-10209</x:v>
      </x:c>
      <x:c r="G323" s="11" t="n">
        <x:v>-10727.61</x:v>
      </x:c>
      <x:c r="H323" t="str">
        <x:v>finance_2026_03.csv</x:v>
      </x:c>
    </x:row>
    <x:row r="324">
      <x:c r="A324" t="str">
        <x:v>TXN-00321</x:v>
      </x:c>
      <x:c r="B324" s="10" t="n">
        <x:v>46109</x:v>
      </x:c>
      <x:c r="C324" t="str">
        <x:v>2026-03</x:v>
      </x:c>
      <x:c r="D324" t="str">
        <x:v>Cost</x:v>
      </x:c>
      <x:c r="E324" t="str">
        <x:v>General &amp; Admin</x:v>
      </x:c>
      <x:c r="F324" s="11" t="n">
        <x:v>-5506</x:v>
      </x:c>
      <x:c r="G324" s="11" t="n">
        <x:v>-5746.36</x:v>
      </x:c>
      <x:c r="H324" t="str">
        <x:v>finance_2026_03.csv</x:v>
      </x:c>
    </x:row>
    <x:row r="325">
      <x:c r="A325" t="str">
        <x:v>TXN-00322</x:v>
      </x:c>
      <x:c r="B325" s="10" t="n">
        <x:v>46097</x:v>
      </x:c>
      <x:c r="C325" t="str">
        <x:v>2026-03</x:v>
      </x:c>
      <x:c r="D325" t="str">
        <x:v>Cost</x:v>
      </x:c>
      <x:c r="E325" t="str">
        <x:v>General &amp; Admin</x:v>
      </x:c>
      <x:c r="F325" s="11" t="n">
        <x:v>-13615</x:v>
      </x:c>
      <x:c r="G325" s="11" t="n">
        <x:v>-12774.76</x:v>
      </x:c>
      <x:c r="H325" t="str">
        <x:v>finance_2026_03.csv</x:v>
      </x:c>
    </x:row>
    <x:row r="326">
      <x:c r="A326" t="str">
        <x:v>TXN-00323</x:v>
      </x:c>
      <x:c r="B326" s="10" t="n">
        <x:v>46093</x:v>
      </x:c>
      <x:c r="C326" t="str">
        <x:v>2026-03</x:v>
      </x:c>
      <x:c r="D326" t="str">
        <x:v>Cost</x:v>
      </x:c>
      <x:c r="E326" t="str">
        <x:v>Technology</x:v>
      </x:c>
      <x:c r="F326" s="11" t="n">
        <x:v>-5129</x:v>
      </x:c>
      <x:c r="G326" s="11" t="n">
        <x:v>-4808.4</x:v>
      </x:c>
      <x:c r="H326" t="str">
        <x:v>finance_2026_03.csv</x:v>
      </x:c>
    </x:row>
    <x:row r="327">
      <x:c r="A327" t="str">
        <x:v>TXN-00324</x:v>
      </x:c>
      <x:c r="B327" s="10" t="n">
        <x:v>46088</x:v>
      </x:c>
      <x:c r="C327" t="str">
        <x:v>2026-03</x:v>
      </x:c>
      <x:c r="D327" t="str">
        <x:v>Cost</x:v>
      </x:c>
      <x:c r="E327" t="str">
        <x:v>Technology</x:v>
      </x:c>
      <x:c r="F327" s="11" t="n">
        <x:v>-11849</x:v>
      </x:c>
      <x:c r="G327" s="11" t="n">
        <x:v>-11329.83</x:v>
      </x:c>
      <x:c r="H327" t="str">
        <x:v>finance_2026_03.csv</x:v>
      </x:c>
    </x:row>
    <x:row r="328">
      <x:c r="A328" t="str">
        <x:v>TXN-00325</x:v>
      </x:c>
      <x:c r="B328" s="10" t="n">
        <x:v>46091</x:v>
      </x:c>
      <x:c r="C328" t="str">
        <x:v>2026-03</x:v>
      </x:c>
      <x:c r="D328" t="str">
        <x:v>Cost</x:v>
      </x:c>
      <x:c r="E328" t="str">
        <x:v>Operations</x:v>
      </x:c>
      <x:c r="F328" s="11" t="n">
        <x:v>-14685</x:v>
      </x:c>
      <x:c r="G328" s="11" t="n">
        <x:v>-14479.81</x:v>
      </x:c>
      <x:c r="H328" t="str">
        <x:v>finance_2026_03.csv</x:v>
      </x:c>
    </x:row>
    <x:row r="329">
      <x:c r="A329" t="str">
        <x:v>TXN-00326</x:v>
      </x:c>
      <x:c r="B329" s="10" t="n">
        <x:v>46100</x:v>
      </x:c>
      <x:c r="C329" t="str">
        <x:v>2026-03</x:v>
      </x:c>
      <x:c r="D329" t="str">
        <x:v>Cost</x:v>
      </x:c>
      <x:c r="E329" t="str">
        <x:v>Operations</x:v>
      </x:c>
      <x:c r="F329" s="11" t="n">
        <x:v>-11454</x:v>
      </x:c>
      <x:c r="G329" s="11" t="n">
        <x:v>-11381.86</x:v>
      </x:c>
      <x:c r="H329" t="str">
        <x:v>finance_2026_03.csv</x:v>
      </x:c>
    </x:row>
    <x:row r="330">
      <x:c r="A330" t="str">
        <x:v>TXN-00327</x:v>
      </x:c>
      <x:c r="B330" s="10" t="n">
        <x:v>46085</x:v>
      </x:c>
      <x:c r="C330" t="str">
        <x:v>2026-03</x:v>
      </x:c>
      <x:c r="D330" t="str">
        <x:v>Cost</x:v>
      </x:c>
      <x:c r="E330" t="str">
        <x:v>General &amp; Admin</x:v>
      </x:c>
      <x:c r="F330" s="11" t="n">
        <x:v>-11379</x:v>
      </x:c>
      <x:c r="G330" s="11" t="n">
        <x:v>-11589.92</x:v>
      </x:c>
      <x:c r="H330" t="str">
        <x:v>finance_2026_03.csv</x:v>
      </x:c>
    </x:row>
    <x:row r="331">
      <x:c r="A331" t="str">
        <x:v>TXN-00328</x:v>
      </x:c>
      <x:c r="B331" s="10" t="n">
        <x:v>46101</x:v>
      </x:c>
      <x:c r="C331" t="str">
        <x:v>2026-03</x:v>
      </x:c>
      <x:c r="D331" t="str">
        <x:v>Cost</x:v>
      </x:c>
      <x:c r="E331" t="str">
        <x:v>Technology</x:v>
      </x:c>
      <x:c r="F331" s="11" t="n">
        <x:v>-3344</x:v>
      </x:c>
      <x:c r="G331" s="11" t="n">
        <x:v>-3355.74</x:v>
      </x:c>
      <x:c r="H331" t="str">
        <x:v>finance_2026_03.csv</x:v>
      </x:c>
    </x:row>
    <x:row r="332">
      <x:c r="A332" t="str">
        <x:v>TXN-00329</x:v>
      </x:c>
      <x:c r="B332" s="10" t="n">
        <x:v>46102</x:v>
      </x:c>
      <x:c r="C332" t="str">
        <x:v>2026-03</x:v>
      </x:c>
      <x:c r="D332" t="str">
        <x:v>Cost</x:v>
      </x:c>
      <x:c r="E332" t="str">
        <x:v>Sales &amp; Marketing</x:v>
      </x:c>
      <x:c r="F332" s="11" t="n">
        <x:v>-12256</x:v>
      </x:c>
      <x:c r="G332" s="11" t="n">
        <x:v>-12743.53</x:v>
      </x:c>
      <x:c r="H332" t="str">
        <x:v>finance_2026_03.csv</x:v>
      </x:c>
    </x:row>
    <x:row r="333">
      <x:c r="A333" t="str">
        <x:v>TXN-00330</x:v>
      </x:c>
      <x:c r="B333" s="10" t="n">
        <x:v>46089</x:v>
      </x:c>
      <x:c r="C333" t="str">
        <x:v>2026-03</x:v>
      </x:c>
      <x:c r="D333" t="str">
        <x:v>Cost</x:v>
      </x:c>
      <x:c r="E333" t="str">
        <x:v>Sales &amp; Marketing</x:v>
      </x:c>
      <x:c r="F333" s="11" t="n">
        <x:v>-5018</x:v>
      </x:c>
      <x:c r="G333" s="11" t="n">
        <x:v>-5089.13</x:v>
      </x:c>
      <x:c r="H333" t="str">
        <x:v>finance_2026_03.csv</x:v>
      </x:c>
    </x:row>
    <x:row r="334">
      <x:c r="A334" t="str">
        <x:v>TXN-00331</x:v>
      </x:c>
      <x:c r="B334" s="10" t="n">
        <x:v>46088</x:v>
      </x:c>
      <x:c r="C334" t="str">
        <x:v>2026-03</x:v>
      </x:c>
      <x:c r="D334" t="str">
        <x:v>Cost</x:v>
      </x:c>
      <x:c r="E334" t="str">
        <x:v>Technology</x:v>
      </x:c>
      <x:c r="F334" s="11" t="n">
        <x:v>-10879</x:v>
      </x:c>
      <x:c r="G334" s="11" t="n">
        <x:v>-11309.7</x:v>
      </x:c>
      <x:c r="H334" t="str">
        <x:v>finance_2026_03.csv</x:v>
      </x:c>
    </x:row>
    <x:row r="335">
      <x:c r="A335" t="str">
        <x:v>TXN-00332</x:v>
      </x:c>
      <x:c r="B335" s="10" t="n">
        <x:v>46086</x:v>
      </x:c>
      <x:c r="C335" t="str">
        <x:v>2026-03</x:v>
      </x:c>
      <x:c r="D335" t="str">
        <x:v>Cost</x:v>
      </x:c>
      <x:c r="E335" t="str">
        <x:v>Operations</x:v>
      </x:c>
      <x:c r="F335" s="11" t="n">
        <x:v>-7058</x:v>
      </x:c>
      <x:c r="G335" s="11" t="n">
        <x:v>-7016.13</x:v>
      </x:c>
      <x:c r="H335" t="str">
        <x:v>finance_2026_03.csv</x:v>
      </x:c>
    </x:row>
    <x:row r="336">
      <x:c r="A336" t="str">
        <x:v>TXN-00333</x:v>
      </x:c>
      <x:c r="B336" s="10" t="n">
        <x:v>46103</x:v>
      </x:c>
      <x:c r="C336" t="str">
        <x:v>2026-03</x:v>
      </x:c>
      <x:c r="D336" t="str">
        <x:v>Cost</x:v>
      </x:c>
      <x:c r="E336" t="str">
        <x:v>General &amp; Admin</x:v>
      </x:c>
      <x:c r="F336" s="11" t="n">
        <x:v>-8233</x:v>
      </x:c>
      <x:c r="G336" s="11" t="n">
        <x:v>-8028.46</x:v>
      </x:c>
      <x:c r="H336" t="str">
        <x:v>finance_2026_03.csv</x:v>
      </x:c>
    </x:row>
    <x:row r="337">
      <x:c r="A337" t="str">
        <x:v>TXN-00334</x:v>
      </x:c>
      <x:c r="B337" s="10" t="n">
        <x:v>46084</x:v>
      </x:c>
      <x:c r="C337" t="str">
        <x:v>2026-03</x:v>
      </x:c>
      <x:c r="D337" t="str">
        <x:v>Cost</x:v>
      </x:c>
      <x:c r="E337" t="str">
        <x:v>General &amp; Admin</x:v>
      </x:c>
      <x:c r="F337" s="11" t="n">
        <x:v>-13149</x:v>
      </x:c>
      <x:c r="G337" s="11" t="n">
        <x:v>-12774.35</x:v>
      </x:c>
      <x:c r="H337" t="str">
        <x:v>finance_2026_03.csv</x:v>
      </x:c>
    </x:row>
    <x:row r="338">
      <x:c r="A338" t="str">
        <x:v>TXN-00335</x:v>
      </x:c>
      <x:c r="B338" s="10" t="n">
        <x:v>46104</x:v>
      </x:c>
      <x:c r="C338" t="str">
        <x:v>2026-03</x:v>
      </x:c>
      <x:c r="D338" t="str">
        <x:v>Cost</x:v>
      </x:c>
      <x:c r="E338" t="str">
        <x:v>Technology</x:v>
      </x:c>
      <x:c r="F338" s="11" t="n">
        <x:v>-8041</x:v>
      </x:c>
      <x:c r="G338" s="11" t="n">
        <x:v>-8121.33</x:v>
      </x:c>
      <x:c r="H338" t="str">
        <x:v>finance_2026_03.csv</x:v>
      </x:c>
    </x:row>
    <x:row r="339">
      <x:c r="A339" t="str">
        <x:v>TXN-00336</x:v>
      </x:c>
      <x:c r="B339" s="10" t="n">
        <x:v>46109</x:v>
      </x:c>
      <x:c r="C339" t="str">
        <x:v>2026-03</x:v>
      </x:c>
      <x:c r="D339" t="str">
        <x:v>Cost</x:v>
      </x:c>
      <x:c r="E339" t="str">
        <x:v>Sales &amp; Marketing</x:v>
      </x:c>
      <x:c r="F339" s="11" t="n">
        <x:v>-8993</x:v>
      </x:c>
      <x:c r="G339" s="11" t="n">
        <x:v>-8305.16</x:v>
      </x:c>
      <x:c r="H339" t="str">
        <x:v>finance_2026_03.csv</x:v>
      </x:c>
    </x:row>
    <x:row r="340">
      <x:c r="A340" t="str">
        <x:v>TXN-00337</x:v>
      </x:c>
      <x:c r="B340" s="10" t="n">
        <x:v>46104</x:v>
      </x:c>
      <x:c r="C340" t="str">
        <x:v>2026-03</x:v>
      </x:c>
      <x:c r="D340" t="str">
        <x:v>Cost</x:v>
      </x:c>
      <x:c r="E340" t="str">
        <x:v>Operations</x:v>
      </x:c>
      <x:c r="F340" s="11" t="n">
        <x:v>-4700</x:v>
      </x:c>
      <x:c r="G340" s="11" t="n">
        <x:v>-4988.38</x:v>
      </x:c>
      <x:c r="H340" t="str">
        <x:v>finance_2026_03.csv</x:v>
      </x:c>
    </x:row>
    <x:row r="341">
      <x:c r="A341" t="str">
        <x:v>TXN-00338</x:v>
      </x:c>
      <x:c r="B341" s="10" t="n">
        <x:v>46103</x:v>
      </x:c>
      <x:c r="C341" t="str">
        <x:v>2026-03</x:v>
      </x:c>
      <x:c r="D341" t="str">
        <x:v>Cost</x:v>
      </x:c>
      <x:c r="E341" t="str">
        <x:v>General &amp; Admin</x:v>
      </x:c>
      <x:c r="F341" s="11" t="n">
        <x:v>-12080</x:v>
      </x:c>
      <x:c r="G341" s="11" t="n">
        <x:v>-11995.73</x:v>
      </x:c>
      <x:c r="H341" t="str">
        <x:v>finance_2026_03.csv</x:v>
      </x:c>
    </x:row>
    <x:row r="342">
      <x:c r="A342" t="str">
        <x:v>TXN-00339</x:v>
      </x:c>
      <x:c r="B342" s="10" t="n">
        <x:v>46106</x:v>
      </x:c>
      <x:c r="C342" t="str">
        <x:v>2026-03</x:v>
      </x:c>
      <x:c r="D342" t="str">
        <x:v>Cost</x:v>
      </x:c>
      <x:c r="E342" t="str">
        <x:v>Technology</x:v>
      </x:c>
      <x:c r="F342" s="11" t="n">
        <x:v>-8984</x:v>
      </x:c>
      <x:c r="G342" s="11" t="n">
        <x:v>-9095.67</x:v>
      </x:c>
      <x:c r="H342" t="str">
        <x:v>finance_2026_03.csv</x:v>
      </x:c>
    </x:row>
    <x:row r="343">
      <x:c r="A343" t="str">
        <x:v>TXN-00340</x:v>
      </x:c>
      <x:c r="B343" s="10" t="n">
        <x:v>46086</x:v>
      </x:c>
      <x:c r="C343" t="str">
        <x:v>2026-03</x:v>
      </x:c>
      <x:c r="D343" t="str">
        <x:v>Cost</x:v>
      </x:c>
      <x:c r="E343" t="str">
        <x:v>Sales &amp; Marketing</x:v>
      </x:c>
      <x:c r="F343" s="11" t="n">
        <x:v>-6528</x:v>
      </x:c>
      <x:c r="G343" s="11" t="n">
        <x:v>-6803.23</x:v>
      </x:c>
      <x:c r="H343" t="str">
        <x:v>finance_2026_03.csv</x:v>
      </x:c>
    </x:row>
    <x:row r="344">
      <x:c r="A344" t="str">
        <x:v>TXN-00341</x:v>
      </x:c>
      <x:c r="B344" s="10" t="n">
        <x:v>46104</x:v>
      </x:c>
      <x:c r="C344" t="str">
        <x:v>2026-03</x:v>
      </x:c>
      <x:c r="D344" t="str">
        <x:v>Cost</x:v>
      </x:c>
      <x:c r="E344" t="str">
        <x:v>Technology</x:v>
      </x:c>
      <x:c r="F344" s="11" t="n">
        <x:v>-8398</x:v>
      </x:c>
      <x:c r="G344" s="11" t="n">
        <x:v>-8784.4</x:v>
      </x:c>
      <x:c r="H344" t="str">
        <x:v>finance_2026_03.csv</x:v>
      </x:c>
    </x:row>
    <x:row r="345">
      <x:c r="A345" t="str">
        <x:v>TXN-00342</x:v>
      </x:c>
      <x:c r="B345" s="10" t="n">
        <x:v>46099</x:v>
      </x:c>
      <x:c r="C345" t="str">
        <x:v>2026-03</x:v>
      </x:c>
      <x:c r="D345" t="str">
        <x:v>Cost</x:v>
      </x:c>
      <x:c r="E345" t="str">
        <x:v>Sales &amp; Marketing</x:v>
      </x:c>
      <x:c r="F345" s="11" t="n">
        <x:v>-14011</x:v>
      </x:c>
      <x:c r="G345" s="11" t="n">
        <x:v>-13695.66</x:v>
      </x:c>
      <x:c r="H345" t="str">
        <x:v>finance_2026_03.csv</x:v>
      </x:c>
    </x:row>
    <x:row r="346">
      <x:c r="A346" t="str">
        <x:v>TXN-00343</x:v>
      </x:c>
      <x:c r="B346" s="10" t="n">
        <x:v>46083</x:v>
      </x:c>
      <x:c r="C346" t="str">
        <x:v>2026-03</x:v>
      </x:c>
      <x:c r="D346" t="str">
        <x:v>Cost</x:v>
      </x:c>
      <x:c r="E346" t="str">
        <x:v>People</x:v>
      </x:c>
      <x:c r="F346" s="11" t="n">
        <x:v>-12419</x:v>
      </x:c>
      <x:c r="G346" s="11" t="n">
        <x:v>-12692.57</x:v>
      </x:c>
      <x:c r="H346" t="str">
        <x:v>finance_2026_03.csv</x:v>
      </x:c>
    </x:row>
    <x:row r="347">
      <x:c r="A347" t="str">
        <x:v>TXN-00344</x:v>
      </x:c>
      <x:c r="B347" s="10" t="n">
        <x:v>46106</x:v>
      </x:c>
      <x:c r="C347" t="str">
        <x:v>2026-03</x:v>
      </x:c>
      <x:c r="D347" t="str">
        <x:v>Cost</x:v>
      </x:c>
      <x:c r="E347" t="str">
        <x:v>People</x:v>
      </x:c>
      <x:c r="F347" s="11" t="n">
        <x:v>-14074</x:v>
      </x:c>
      <x:c r="G347" s="11" t="n">
        <x:v>-13997.92</x:v>
      </x:c>
      <x:c r="H347" t="str">
        <x:v>finance_2026_03.csv</x:v>
      </x:c>
    </x:row>
    <x:row r="348">
      <x:c r="A348" t="str">
        <x:v>TXN-00345</x:v>
      </x:c>
      <x:c r="B348" s="10" t="n">
        <x:v>46090</x:v>
      </x:c>
      <x:c r="C348" t="str">
        <x:v>2026-03</x:v>
      </x:c>
      <x:c r="D348" t="str">
        <x:v>Cost</x:v>
      </x:c>
      <x:c r="E348" t="str">
        <x:v>Sales &amp; Marketing</x:v>
      </x:c>
      <x:c r="F348" s="11" t="n">
        <x:v>-13512</x:v>
      </x:c>
      <x:c r="G348" s="11" t="n">
        <x:v>-14316.74</x:v>
      </x:c>
      <x:c r="H348" t="str">
        <x:v>finance_2026_03.csv</x:v>
      </x:c>
    </x:row>
    <x:row r="349">
      <x:c r="A349" t="str">
        <x:v>TXN-00346</x:v>
      </x:c>
      <x:c r="B349" s="10" t="n">
        <x:v>46104</x:v>
      </x:c>
      <x:c r="C349" t="str">
        <x:v>2026-03</x:v>
      </x:c>
      <x:c r="D349" t="str">
        <x:v>Cash Flow</x:v>
      </x:c>
      <x:c r="E349" t="str">
        <x:v>General &amp; Admin</x:v>
      </x:c>
      <x:c r="F349" s="11" t="n">
        <x:v>11782</x:v>
      </x:c>
      <x:c r="G349" s="11" t="n">
        <x:v>11359.29</x:v>
      </x:c>
      <x:c r="H349" t="str">
        <x:v>finance_2026_03.csv</x:v>
      </x:c>
    </x:row>
    <x:row r="350">
      <x:c r="A350" t="str">
        <x:v>TXN-00347</x:v>
      </x:c>
      <x:c r="B350" s="10" t="n">
        <x:v>46107</x:v>
      </x:c>
      <x:c r="C350" t="str">
        <x:v>2026-03</x:v>
      </x:c>
      <x:c r="D350" t="str">
        <x:v>Cash Flow</x:v>
      </x:c>
      <x:c r="E350" t="str">
        <x:v>Technology</x:v>
      </x:c>
      <x:c r="F350" s="11" t="n">
        <x:v>8291</x:v>
      </x:c>
      <x:c r="G350" s="11" t="n">
        <x:v>8172.54</x:v>
      </x:c>
      <x:c r="H350" t="str">
        <x:v>finance_2026_03.csv</x:v>
      </x:c>
    </x:row>
    <x:row r="351">
      <x:c r="A351" t="str">
        <x:v>TXN-00348</x:v>
      </x:c>
      <x:c r="B351" s="10" t="n">
        <x:v>46106</x:v>
      </x:c>
      <x:c r="C351" t="str">
        <x:v>2026-03</x:v>
      </x:c>
      <x:c r="D351" t="str">
        <x:v>Cash Flow</x:v>
      </x:c>
      <x:c r="E351" t="str">
        <x:v>General &amp; Admin</x:v>
      </x:c>
      <x:c r="F351" s="11" t="n">
        <x:v>3380</x:v>
      </x:c>
      <x:c r="G351" s="11" t="n">
        <x:v>3401.67</x:v>
      </x:c>
      <x:c r="H351" t="str">
        <x:v>finance_2026_03.csv</x:v>
      </x:c>
    </x:row>
    <x:row r="352">
      <x:c r="A352" t="str">
        <x:v>TXN-00349</x:v>
      </x:c>
      <x:c r="B352" s="10" t="n">
        <x:v>46098</x:v>
      </x:c>
      <x:c r="C352" t="str">
        <x:v>2026-03</x:v>
      </x:c>
      <x:c r="D352" t="str">
        <x:v>Cash Flow</x:v>
      </x:c>
      <x:c r="E352" t="str">
        <x:v>People</x:v>
      </x:c>
      <x:c r="F352" s="11" t="n">
        <x:v>-3263</x:v>
      </x:c>
      <x:c r="G352" s="11" t="n">
        <x:v>-3225.68</x:v>
      </x:c>
      <x:c r="H352" t="str">
        <x:v>finance_2026_03.csv</x:v>
      </x:c>
    </x:row>
    <x:row r="353">
      <x:c r="A353" t="str">
        <x:v>TXN-00350</x:v>
      </x:c>
      <x:c r="B353" s="10" t="n">
        <x:v>46108</x:v>
      </x:c>
      <x:c r="C353" t="str">
        <x:v>2026-03</x:v>
      </x:c>
      <x:c r="D353" t="str">
        <x:v>Cash Flow</x:v>
      </x:c>
      <x:c r="E353" t="str">
        <x:v>General &amp; Admin</x:v>
      </x:c>
      <x:c r="F353" s="11" t="n">
        <x:v>3708</x:v>
      </x:c>
      <x:c r="G353" s="11" t="n">
        <x:v>3990.37</x:v>
      </x:c>
      <x:c r="H353" t="str">
        <x:v>finance_2026_03.csv</x:v>
      </x:c>
    </x:row>
    <x:row r="354">
      <x:c r="A354" t="str">
        <x:v>TXN-00351</x:v>
      </x:c>
      <x:c r="B354" s="10" t="n">
        <x:v>46103</x:v>
      </x:c>
      <x:c r="C354" t="str">
        <x:v>2026-03</x:v>
      </x:c>
      <x:c r="D354" t="str">
        <x:v>Cash Flow</x:v>
      </x:c>
      <x:c r="E354" t="str">
        <x:v>Technology</x:v>
      </x:c>
      <x:c r="F354" s="11" t="n">
        <x:v>4230</x:v>
      </x:c>
      <x:c r="G354" s="11" t="n">
        <x:v>3972.65</x:v>
      </x:c>
      <x:c r="H354" t="str">
        <x:v>finance_2026_03.csv</x:v>
      </x:c>
    </x:row>
    <x:row r="355">
      <x:c r="A355" t="str">
        <x:v>TXN-00352</x:v>
      </x:c>
      <x:c r="B355" s="10" t="n">
        <x:v>46108</x:v>
      </x:c>
      <x:c r="C355" t="str">
        <x:v>2026-03</x:v>
      </x:c>
      <x:c r="D355" t="str">
        <x:v>Cash Flow</x:v>
      </x:c>
      <x:c r="E355" t="str">
        <x:v>Technology</x:v>
      </x:c>
      <x:c r="F355" s="11" t="n">
        <x:v>11992</x:v>
      </x:c>
      <x:c r="G355" s="11" t="n">
        <x:v>13039.81</x:v>
      </x:c>
      <x:c r="H355" t="str">
        <x:v>finance_2026_03.csv</x:v>
      </x:c>
    </x:row>
    <x:row r="356">
      <x:c r="A356" t="str">
        <x:v>TXN-00353</x:v>
      </x:c>
      <x:c r="B356" s="10" t="n">
        <x:v>46096</x:v>
      </x:c>
      <x:c r="C356" t="str">
        <x:v>2026-03</x:v>
      </x:c>
      <x:c r="D356" t="str">
        <x:v>Cash Flow</x:v>
      </x:c>
      <x:c r="E356" t="str">
        <x:v>People</x:v>
      </x:c>
      <x:c r="F356" s="11" t="n">
        <x:v>-2474</x:v>
      </x:c>
      <x:c r="G356" s="11" t="n">
        <x:v>-2662.43</x:v>
      </x:c>
      <x:c r="H356" t="str">
        <x:v>finance_2026_03.csv</x:v>
      </x:c>
    </x:row>
    <x:row r="357">
      <x:c r="A357" t="str">
        <x:v>TXN-00354</x:v>
      </x:c>
      <x:c r="B357" s="10" t="n">
        <x:v>46098</x:v>
      </x:c>
      <x:c r="C357" t="str">
        <x:v>2026-03</x:v>
      </x:c>
      <x:c r="D357" t="str">
        <x:v>Cash Flow</x:v>
      </x:c>
      <x:c r="E357" t="str">
        <x:v>Technology</x:v>
      </x:c>
      <x:c r="F357" s="11" t="n">
        <x:v>5315</x:v>
      </x:c>
      <x:c r="G357" s="11" t="n">
        <x:v>5685.6</x:v>
      </x:c>
      <x:c r="H357" t="str">
        <x:v>finance_2026_03.csv</x:v>
      </x:c>
    </x:row>
    <x:row r="358">
      <x:c r="A358" t="str">
        <x:v>TXN-00355</x:v>
      </x:c>
      <x:c r="B358" s="10" t="n">
        <x:v>46099</x:v>
      </x:c>
      <x:c r="C358" t="str">
        <x:v>2026-03</x:v>
      </x:c>
      <x:c r="D358" t="str">
        <x:v>Cash Flow</x:v>
      </x:c>
      <x:c r="E358" t="str">
        <x:v>Sales &amp; Marketing</x:v>
      </x:c>
      <x:c r="F358" s="11" t="n">
        <x:v>-5437</x:v>
      </x:c>
      <x:c r="G358" s="11" t="n">
        <x:v>-5159.26</x:v>
      </x:c>
      <x:c r="H358" t="str">
        <x:v>finance_2026_03.csv</x:v>
      </x:c>
    </x:row>
    <x:row r="359">
      <x:c r="A359" t="str">
        <x:v>TXN-00356</x:v>
      </x:c>
      <x:c r="B359" s="10" t="n">
        <x:v>46106</x:v>
      </x:c>
      <x:c r="C359" t="str">
        <x:v>2026-03</x:v>
      </x:c>
      <x:c r="D359" t="str">
        <x:v>Cash Flow</x:v>
      </x:c>
      <x:c r="E359" t="str">
        <x:v>People</x:v>
      </x:c>
      <x:c r="F359" s="11" t="n">
        <x:v>-1794</x:v>
      </x:c>
      <x:c r="G359" s="11" t="n">
        <x:v>-1664.39</x:v>
      </x:c>
      <x:c r="H359" t="str">
        <x:v>finance_2026_03.csv</x:v>
      </x:c>
    </x:row>
    <x:row r="360">
      <x:c r="A360" t="str">
        <x:v>TXN-00357</x:v>
      </x:c>
      <x:c r="B360" s="10" t="n">
        <x:v>46109</x:v>
      </x:c>
      <x:c r="C360" t="str">
        <x:v>2026-03</x:v>
      </x:c>
      <x:c r="D360" t="str">
        <x:v>Cash Flow</x:v>
      </x:c>
      <x:c r="E360" t="str">
        <x:v>Sales &amp; Marketing</x:v>
      </x:c>
      <x:c r="F360" s="11" t="n">
        <x:v>3247</x:v>
      </x:c>
      <x:c r="G360" s="11" t="n">
        <x:v>3062.31</x:v>
      </x:c>
      <x:c r="H360" t="str">
        <x:v>finance_2026_03.csv</x:v>
      </x:c>
    </x:row>
    <x:row r="361">
      <x:c r="A361" t="str">
        <x:v>TXN-00358</x:v>
      </x:c>
      <x:c r="B361" s="10" t="n">
        <x:v>46106</x:v>
      </x:c>
      <x:c r="C361" t="str">
        <x:v>2026-03</x:v>
      </x:c>
      <x:c r="D361" t="str">
        <x:v>Cash Flow</x:v>
      </x:c>
      <x:c r="E361" t="str">
        <x:v>Operations</x:v>
      </x:c>
      <x:c r="F361" s="11" t="n">
        <x:v>-6222</x:v>
      </x:c>
      <x:c r="G361" s="11" t="n">
        <x:v>-5533.02</x:v>
      </x:c>
      <x:c r="H361" t="str">
        <x:v>finance_2026_03.csv</x:v>
      </x:c>
    </x:row>
    <x:row r="362">
      <x:c r="A362" t="str">
        <x:v>TXN-00359</x:v>
      </x:c>
      <x:c r="B362" s="10" t="n">
        <x:v>46106</x:v>
      </x:c>
      <x:c r="C362" t="str">
        <x:v>2026-03</x:v>
      </x:c>
      <x:c r="D362" t="str">
        <x:v>Cash Flow</x:v>
      </x:c>
      <x:c r="E362" t="str">
        <x:v>Operations</x:v>
      </x:c>
      <x:c r="F362" s="11" t="n">
        <x:v>-4695</x:v>
      </x:c>
      <x:c r="G362" s="11" t="n">
        <x:v>-5102.97</x:v>
      </x:c>
      <x:c r="H362" t="str">
        <x:v>finance_2026_03.csv</x:v>
      </x:c>
    </x:row>
    <x:row r="363">
      <x:c r="A363" t="str">
        <x:v>TXN-00360</x:v>
      </x:c>
      <x:c r="B363" s="10" t="n">
        <x:v>46103</x:v>
      </x:c>
      <x:c r="C363" t="str">
        <x:v>2026-03</x:v>
      </x:c>
      <x:c r="D363" t="str">
        <x:v>Cash Flow</x:v>
      </x:c>
      <x:c r="E363" t="str">
        <x:v>Operations</x:v>
      </x:c>
      <x:c r="F363" s="11" t="n">
        <x:v>9475</x:v>
      </x:c>
      <x:c r="G363" s="11" t="n">
        <x:v>9085.2</x:v>
      </x:c>
      <x:c r="H363" t="str">
        <x:v>finance_2026_03.csv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b66b2637e96e40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.5600004196167" hidden="0" customWidth="1"/>
    <x:col min="3" max="3" width="10.220000267028809" hidden="0" customWidth="1"/>
    <x:col min="4" max="4" width="7.329999923706055" hidden="0" customWidth="1"/>
    <x:col min="5" max="5" width="9.220000267028809" hidden="0" customWidth="1"/>
  </x:cols>
  <x:sheetData>
    <x:row r="1">
      <x:c r="A1" s="4" t="str">
        <x:v>Cost Centre Variance Review</x:v>
      </x:c>
      <x:c r="B1" s="4"/>
      <x:c r="C1" s="4"/>
      <x:c r="D1" s="4"/>
      <x:c r="E1" s="4"/>
    </x:row>
    <x:row r="4">
      <x:c r="A4" s="7" t="str">
        <x:v>Cost Centre</x:v>
      </x:c>
      <x:c r="B4" s="8" t="str">
        <x:v>Actual Cost</x:v>
      </x:c>
      <x:c r="C4" s="8" t="str">
        <x:v>Budget Cost</x:v>
      </x:c>
      <x:c r="D4" s="8" t="str">
        <x:v>Variance</x:v>
      </x:c>
      <x:c r="E4" s="9" t="str">
        <x:v>Variance %</x:v>
      </x:c>
    </x:row>
    <x:row r="5">
      <x:c r="A5" t="str">
        <x:v>General &amp; Admin</x:v>
      </x:c>
      <x:c r="B5" s="11" t="n">
        <x:v>-372743</x:v>
      </x:c>
      <x:c r="C5" s="11" t="n">
        <x:v>-371796.8</x:v>
      </x:c>
      <x:c r="D5" s="11" t="n">
        <x:f>B5-C5</x:f>
        <x:v>-946.2000000000116</x:v>
      </x:c>
      <x:c r="E5" s="16" t="n">
        <x:f>IF(C5=0,0,D5/ABS(C5))</x:f>
        <x:v>-0.00254493852556023</x:v>
      </x:c>
    </x:row>
    <x:row r="6">
      <x:c r="A6" t="str">
        <x:v>Operations</x:v>
      </x:c>
      <x:c r="B6" s="11" t="n">
        <x:v>-347534</x:v>
      </x:c>
      <x:c r="C6" s="11" t="n">
        <x:v>-342913.4</x:v>
      </x:c>
      <x:c r="D6" s="11" t="n">
        <x:f>B6-C6</x:f>
        <x:v>-4620.599999999977</x:v>
      </x:c>
      <x:c r="E6" s="16" t="n">
        <x:f>IF(C6=0,0,D6/ABS(C6))</x:f>
        <x:v>-0.013474539052717031</x:v>
      </x:c>
    </x:row>
    <x:row r="7">
      <x:c r="A7" t="str">
        <x:v>People</x:v>
      </x:c>
      <x:c r="B7" s="11" t="n">
        <x:v>-219015</x:v>
      </x:c>
      <x:c r="C7" s="11" t="n">
        <x:v>-219199.65</x:v>
      </x:c>
      <x:c r="D7" s="11" t="n">
        <x:f>B7-C7</x:f>
        <x:v>184.64999999999418</x:v>
      </x:c>
      <x:c r="E7" s="16" t="n">
        <x:f>IF(C7=0,0,D7/ABS(C7))</x:f>
        <x:v>0.0008423827319067078</x:v>
      </x:c>
    </x:row>
    <x:row r="8">
      <x:c r="A8" t="str">
        <x:v>Sales &amp; Marketing</x:v>
      </x:c>
      <x:c r="B8" s="11" t="n">
        <x:v>-380172</x:v>
      </x:c>
      <x:c r="C8" s="11" t="n">
        <x:v>-379553.05</x:v>
      </x:c>
      <x:c r="D8" s="11" t="n">
        <x:f>B8-C8</x:f>
        <x:v>-618.9500000000116</x:v>
      </x:c>
      <x:c r="E8" s="16" t="n">
        <x:f>IF(C8=0,0,D8/ABS(C8))</x:f>
        <x:v>-0.0016307338328594952</x:v>
      </x:c>
    </x:row>
    <x:row r="9">
      <x:c r="A9" t="str">
        <x:v>Technology</x:v>
      </x:c>
      <x:c r="B9" s="11" t="n">
        <x:v>-214233</x:v>
      </x:c>
      <x:c r="C9" s="11" t="n">
        <x:v>-213395.44</x:v>
      </x:c>
      <x:c r="D9" s="11" t="n">
        <x:f>B9-C9</x:f>
        <x:v>-837.5599999999977</x:v>
      </x:c>
      <x:c r="E9" s="16" t="n">
        <x:f>IF(C9=0,0,D9/ABS(C9))</x:f>
        <x:v>-0.003924919857706414</x:v>
      </x:c>
    </x:row>
    <x:row r="10">
      <x:c r="A10" s="12" t="str">
        <x:v>Total</x:v>
      </x:c>
      <x:c r="B10" s="15" t="n">
        <x:f>SUM(B5:B9)</x:f>
        <x:v>-1533697</x:v>
      </x:c>
      <x:c r="C10" s="15" t="n">
        <x:f>SUM(C5:C9)</x:f>
        <x:v>-1526858.3399999999</x:v>
      </x:c>
      <x:c r="D10" s="15" t="n">
        <x:f>SUM(D5:D9)</x:f>
        <x:v>-6838.6600000000035</x:v>
      </x:c>
      <x:c r="E10" s="12"/>
    </x:row>
  </x:sheetData>
  <x:mergeCells>
    <x:mergeCell ref="A1:E1"/>
  </x:mergeCells>
  <x:conditionalFormatting sqref="D5:D9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.440000057220459" hidden="0" customWidth="1"/>
    <x:col min="3" max="3" width="7.78000020980835" hidden="0" customWidth="1"/>
    <x:col min="4" max="4" width="5.440000057220459" hidden="0" customWidth="1"/>
    <x:col min="5" max="5" width="31" hidden="0" customWidth="1"/>
  </x:cols>
  <x:sheetData>
    <x:row r="1">
      <x:c r="A1" s="4" t="str">
        <x:v>Data Quality Checks</x:v>
      </x:c>
      <x:c r="B1" s="4"/>
      <x:c r="C1" s="4"/>
      <x:c r="D1" s="4"/>
      <x:c r="E1" s="4"/>
    </x:row>
    <x:row r="3">
      <x:c r="A3" s="19" t="str">
        <x:v>MODEL STATUS</x:v>
      </x:c>
      <x:c r="B3" s="19" t="str">
        <x:f>IF(COUNTIF(D6:D9,"FAIL")=0,"PASS","FAIL")</x:f>
        <x:v>PASS</x:v>
      </x:c>
    </x:row>
    <x:row r="5">
      <x:c r="A5" s="7" t="str">
        <x:v>Check</x:v>
      </x:c>
      <x:c r="B5" s="8" t="str">
        <x:v>Actual</x:v>
      </x:c>
      <x:c r="C5" s="8" t="str">
        <x:v>Expected</x:v>
      </x:c>
      <x:c r="D5" s="8" t="str">
        <x:v>Status</x:v>
      </x:c>
      <x:c r="E5" s="9" t="str">
        <x:v>Where to fix</x:v>
      </x:c>
    </x:row>
    <x:row r="6">
      <x:c r="A6" t="str">
        <x:v>Source files loaded</x:v>
      </x:c>
      <x:c r="B6" t="n">
        <x:v>3</x:v>
      </x:c>
      <x:c r="C6" t="n">
        <x:v>3</x:v>
      </x:c>
      <x:c r="D6" t="str">
        <x:f>IF(B6=C6,"PASS","FAIL")</x:f>
        <x:v>PASS</x:v>
      </x:c>
      <x:c r="E6" t="str">
        <x:v>Review source files or Input Data</x:v>
      </x:c>
    </x:row>
    <x:row r="7">
      <x:c r="A7" t="str">
        <x:v>Transactions loaded</x:v>
      </x:c>
      <x:c r="B7" t="n">
        <x:v>360</x:v>
      </x:c>
      <x:c r="C7" t="n">
        <x:v>360</x:v>
      </x:c>
      <x:c r="D7" t="str">
        <x:f>IF(B7=C7,"PASS","FAIL")</x:f>
        <x:v>PASS</x:v>
      </x:c>
      <x:c r="E7" t="str">
        <x:v>Review source files or Input Data</x:v>
      </x:c>
    </x:row>
    <x:row r="8">
      <x:c r="A8" t="str">
        <x:v>Duplicate transaction IDs</x:v>
      </x:c>
      <x:c r="B8" t="n">
        <x:v>0</x:v>
      </x:c>
      <x:c r="C8" t="n">
        <x:v>0</x:v>
      </x:c>
      <x:c r="D8" t="str">
        <x:f>IF(B8=C8,"PASS","FAIL")</x:f>
        <x:v>PASS</x:v>
      </x:c>
      <x:c r="E8" t="str">
        <x:v>Review source files or Input Data</x:v>
      </x:c>
    </x:row>
    <x:row r="9">
      <x:c r="A9" t="str">
        <x:v>Missing cost centres</x:v>
      </x:c>
      <x:c r="B9" t="n">
        <x:v>0</x:v>
      </x:c>
      <x:c r="C9" t="n">
        <x:v>0</x:v>
      </x:c>
      <x:c r="D9" t="str">
        <x:f>IF(B9=C9,"PASS","FAIL")</x:f>
        <x:v>PASS</x:v>
      </x:c>
      <x:c r="E9" t="str">
        <x:v>Review source files or Input Data</x:v>
      </x:c>
    </x:row>
  </x:sheetData>
  <x:mergeCells>
    <x:mergeCell ref="A1:E1"/>
  </x:mergeCells>
  <x:conditionalFormatting sqref="D6:D9">
    <x:cfRule type="containsText" dxfId="1" priority="1" operator="containsText" text="PASS"/>
    <x:cfRule type="containsText" dxfId="2" priority="2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70" hidden="0" customWidth="1"/>
  </x:cols>
  <x:sheetData>
    <x:row r="1">
      <x:c r="A1" s="4" t="str">
        <x:v>Refresh Instructions</x:v>
      </x:c>
      <x:c r="B1" s="4"/>
      <x:c r="C1" s="4"/>
      <x:c r="D1" s="4"/>
      <x:c r="E1" s="4"/>
      <x:c r="F1" s="4"/>
    </x:row>
    <x:row r="3">
      <x:c r="A3" s="7" t="str">
        <x:v>Step</x:v>
      </x:c>
      <x:c r="B3" s="40" t="str">
        <x:v>Action</x:v>
      </x:c>
    </x:row>
    <x:row r="4">
      <x:c r="A4" t="str">
        <x:v>1</x:v>
      </x:c>
      <x:c r="B4" s="41" t="str">
        <x:v>Replace or add monthly CSV files in data/raw.</x:v>
      </x:c>
    </x:row>
    <x:row r="5">
      <x:c r="A5" t="str">
        <x:v>2</x:v>
      </x:c>
      <x:c r="B5" s="41" t="str">
        <x:v>Run src/run_reporting.py to consolidate and validate data.</x:v>
      </x:c>
    </x:row>
    <x:row r="6">
      <x:c r="A6" t="str">
        <x:v>3</x:v>
      </x:c>
      <x:c r="B6" s="41" t="str">
        <x:v>Run src/build_management_report.mjs to refresh this workbook.</x:v>
      </x:c>
    </x:row>
    <x:row r="7">
      <x:c r="A7" t="str">
        <x:v>4</x:v>
      </x:c>
      <x:c r="B7" s="41" t="str">
        <x:v>Review the Checks sheet before sharing the report.</x:v>
      </x:c>
    </x:row>
  </x:sheetData>
  <x:mergeCells>
    <x:mergeCell ref="A1:F1"/>
  </x:mergeCells>
  <x:pageMargins left="0.7" right="0.7" top="0.75" bottom="0.75" header="0.3" footer="0.3"/>
</x:worksheet>
</file>